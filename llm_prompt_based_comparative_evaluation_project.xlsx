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beri\Desktop\"/>
    </mc:Choice>
  </mc:AlternateContent>
  <xr:revisionPtr revIDLastSave="0" documentId="13_ncr:1_{1F4FC1A8-2D0F-48F8-8723-7A3C5DCA6222}" xr6:coauthVersionLast="47" xr6:coauthVersionMax="47" xr10:uidLastSave="{00000000-0000-0000-0000-000000000000}"/>
  <bookViews>
    <workbookView xWindow="-110" yWindow="-110" windowWidth="25820" windowHeight="15500" xr2:uid="{00000000-000D-0000-FFFF-FFFF00000000}"/>
  </bookViews>
  <sheets>
    <sheet name="Mini_Introduction" sheetId="6" r:id="rId1"/>
    <sheet name="Prompts" sheetId="2" r:id="rId2"/>
    <sheet name="Rubric" sheetId="3" r:id="rId3"/>
    <sheet name="Evaluation" sheetId="4" r:id="rId4"/>
    <sheet name="Result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5" l="1"/>
  <c r="E10" i="5"/>
  <c r="D10" i="5"/>
  <c r="C10" i="5"/>
  <c r="B10" i="5"/>
  <c r="D9" i="5"/>
  <c r="C9" i="5"/>
  <c r="B9" i="5"/>
  <c r="D18" i="5"/>
  <c r="C18" i="5"/>
  <c r="B18" i="5"/>
  <c r="D17" i="5"/>
  <c r="C17" i="5"/>
  <c r="B17" i="5"/>
  <c r="D16" i="5"/>
  <c r="C16" i="5"/>
  <c r="B16" i="5"/>
  <c r="D15" i="5"/>
  <c r="C15" i="5"/>
  <c r="B15" i="5"/>
  <c r="B2" i="5"/>
</calcChain>
</file>

<file path=xl/sharedStrings.xml><?xml version="1.0" encoding="utf-8"?>
<sst xmlns="http://schemas.openxmlformats.org/spreadsheetml/2006/main" count="698" uniqueCount="442">
  <si>
    <t>Prompt_ID</t>
  </si>
  <si>
    <t>Main_Category</t>
  </si>
  <si>
    <t>Linguistic_Phenomenon</t>
  </si>
  <si>
    <t>Concept</t>
  </si>
  <si>
    <t>Prompt</t>
  </si>
  <si>
    <t>Expected_Strong_Answer</t>
  </si>
  <si>
    <t>Success_Criterion</t>
  </si>
  <si>
    <t>P01</t>
  </si>
  <si>
    <t>Semantic ambiguity</t>
  </si>
  <si>
    <t>Lexical ambiguity</t>
  </si>
  <si>
    <t>The word has more than one meaning</t>
  </si>
  <si>
    <t>Explain the ambiguity in this sentence: 'The bank was crowded after lunch.'</t>
  </si>
  <si>
    <t>A strong answer identifies at least two meanings of bank: financial institution and river edge; it should explain that context is missing.</t>
  </si>
  <si>
    <t>Both meanings identified</t>
  </si>
  <si>
    <t>P02</t>
  </si>
  <si>
    <t>Syntactic ambiguity</t>
  </si>
  <si>
    <t>The sentence structure allows more than one interpretation</t>
  </si>
  <si>
    <t>Explain the possible meanings of: 'I saw the man with the telescope.'</t>
  </si>
  <si>
    <t>A strong answer explains that either the speaker used the telescope to see the man, or the man had the telescope.</t>
  </si>
  <si>
    <t>Both readings identified</t>
  </si>
  <si>
    <t>P03</t>
  </si>
  <si>
    <t>Scope ambiguity</t>
  </si>
  <si>
    <t>A quantifier or negation has different possible scopes</t>
  </si>
  <si>
    <t>Explain the ambiguity in: 'Everyone did not pass the exam.'</t>
  </si>
  <si>
    <t>A strong answer distinguishes between nobody passed and not everyone passed.</t>
  </si>
  <si>
    <t>Scope contrast identified</t>
  </si>
  <si>
    <t>P04</t>
  </si>
  <si>
    <t>Referential ambiguity</t>
  </si>
  <si>
    <t>A pronoun or expression has unclear reference</t>
  </si>
  <si>
    <t>In the sentence 'Anna told Maria that she had won the prize,' who may 'she' refer to?</t>
  </si>
  <si>
    <t>A strong answer says 'she' could refer to Anna or Maria unless context clarifies it.</t>
  </si>
  <si>
    <t>Possible referents identified</t>
  </si>
  <si>
    <t>P05</t>
  </si>
  <si>
    <t>Polysemy</t>
  </si>
  <si>
    <t>A single word has related meanings</t>
  </si>
  <si>
    <t>Explain the different meanings of 'paper' in: 'She submitted a paper about paper recycling.'</t>
  </si>
  <si>
    <t>A strong answer distinguishes academic essay/article and physical material.</t>
  </si>
  <si>
    <t>Related meanings identified</t>
  </si>
  <si>
    <t>P06</t>
  </si>
  <si>
    <t>Attachment ambiguity</t>
  </si>
  <si>
    <t>A phrase may attach to different parts of a sentence</t>
  </si>
  <si>
    <t>Explain the ambiguity: 'She photographed the dog in the park.'</t>
  </si>
  <si>
    <t>A strong answer explains either she was in the park while photographing the dog or the dog was in the park.</t>
  </si>
  <si>
    <t>Both attachments identified</t>
  </si>
  <si>
    <t>P07</t>
  </si>
  <si>
    <t>Metonymic ambiguity</t>
  </si>
  <si>
    <t>A term may refer to an institution/person/place</t>
  </si>
  <si>
    <t>Explain possible meanings of: 'The White House issued a statement.'</t>
  </si>
  <si>
    <t>A strong answer explains it likely means the U.S. administration or officials, not the physical building.</t>
  </si>
  <si>
    <t>Institutional meaning recognized</t>
  </si>
  <si>
    <t>P08</t>
  </si>
  <si>
    <t>Compositionality limitation</t>
  </si>
  <si>
    <t>Literal combination does not fully determine meaning</t>
  </si>
  <si>
    <t>Explain why 'kick the bucket' is not understood compositionally.</t>
  </si>
  <si>
    <t>A strong answer says the idiom means to die and cannot be understood by adding the literal meanings of kick + bucket.</t>
  </si>
  <si>
    <t>Idiom recognized</t>
  </si>
  <si>
    <t>P09</t>
  </si>
  <si>
    <t>Gradable adjective ambiguity</t>
  </si>
  <si>
    <t>Meaning depends on comparison class</t>
  </si>
  <si>
    <t>Explain why 'small elephant' and 'small mouse' do not mean the same size.</t>
  </si>
  <si>
    <t>A strong answer explains that small is interpreted relative to the noun/category.</t>
  </si>
  <si>
    <t>Comparison class explained</t>
  </si>
  <si>
    <t>P10</t>
  </si>
  <si>
    <t>Deixis</t>
  </si>
  <si>
    <t>Meaning depends on speaker/context</t>
  </si>
  <si>
    <t>Explain what information is missing in: 'I will meet you here tomorrow.'</t>
  </si>
  <si>
    <t>A strong answer says we need to know speaker, addressee, place, and date of utterance.</t>
  </si>
  <si>
    <t>Context dependency identified</t>
  </si>
  <si>
    <t>P11</t>
  </si>
  <si>
    <t>Pragmatics</t>
  </si>
  <si>
    <t>Conversational implicature</t>
  </si>
  <si>
    <t>The speaker implies more than they literally say</t>
  </si>
  <si>
    <t>A: 'Are you coming to the meeting?' B: 'I have a dentist appointment.' What is implied?</t>
  </si>
  <si>
    <t>A strong answer infers that B probably cannot attend or is indirectly declining.</t>
  </si>
  <si>
    <t>Indirect refusal inferred</t>
  </si>
  <si>
    <t>P12</t>
  </si>
  <si>
    <t>Scalar implicature</t>
  </si>
  <si>
    <t>A weaker term implies the stronger term may not hold</t>
  </si>
  <si>
    <t>A teacher says: 'Some students passed the exam.' What might this imply?</t>
  </si>
  <si>
    <t>A strong answer says it may imply not all students passed, although literally 'some' can be compatible with all.</t>
  </si>
  <si>
    <t>Some-not-all inference</t>
  </si>
  <si>
    <t>P13</t>
  </si>
  <si>
    <t>Presupposition</t>
  </si>
  <si>
    <t>A sentence assumes background information</t>
  </si>
  <si>
    <t>What does 'Maria stopped smoking' presuppose?</t>
  </si>
  <si>
    <t>A strong answer says Maria used to smoke before.</t>
  </si>
  <si>
    <t>Presupposition identified</t>
  </si>
  <si>
    <t>P14</t>
  </si>
  <si>
    <t>Politeness strategy</t>
  </si>
  <si>
    <t>Indirectness reduces face-threat</t>
  </si>
  <si>
    <t>Why might someone say 'Could you possibly close the window?' instead of 'Close the window'?</t>
  </si>
  <si>
    <t>A strong answer explains politeness, mitigation, and indirect request strategy.</t>
  </si>
  <si>
    <t>Politeness explained</t>
  </si>
  <si>
    <t>P15</t>
  </si>
  <si>
    <t>Speech act</t>
  </si>
  <si>
    <t>The intended act differs from literal sentence type</t>
  </si>
  <si>
    <t>In context, what speech act is performed by: 'Can you pass the salt?'</t>
  </si>
  <si>
    <t>A strong answer says it is a request, not a real question about ability.</t>
  </si>
  <si>
    <t>Request identified</t>
  </si>
  <si>
    <t>P16</t>
  </si>
  <si>
    <t>Irony</t>
  </si>
  <si>
    <t>Intended meaning contrasts with literal words</t>
  </si>
  <si>
    <t>After a terrible performance, someone says: 'Well, that was brilliant.' What is meant?</t>
  </si>
  <si>
    <t>A strong answer identifies irony/sarcasm and says the speaker likely means the opposite.</t>
  </si>
  <si>
    <t>Irony recognized</t>
  </si>
  <si>
    <t>P17</t>
  </si>
  <si>
    <t>Contextual inference</t>
  </si>
  <si>
    <t>Meaning depends on situation</t>
  </si>
  <si>
    <t>A: 'Do you like the soup?' B: 'It is very salty.' What is B implying?</t>
  </si>
  <si>
    <t>A strong answer infers that B probably does not fully like the soup or is criticizing it indirectly.</t>
  </si>
  <si>
    <t>Negative evaluation inferred</t>
  </si>
  <si>
    <t>P18</t>
  </si>
  <si>
    <t>Maxim of relevance</t>
  </si>
  <si>
    <t>An apparently unrelated answer can be meaningful</t>
  </si>
  <si>
    <t>A: 'Where is John?' B: 'There is a red car outside Mary's house.' Explain the possible implication.</t>
  </si>
  <si>
    <t>A strong answer explains B may imply John is at Mary's house if John's car is red, relying on contextual relevance.</t>
  </si>
  <si>
    <t>Relevance inference explained</t>
  </si>
  <si>
    <t>P19</t>
  </si>
  <si>
    <t>Cultural presupposition</t>
  </si>
  <si>
    <t>Meaning assumes cultural knowledge</t>
  </si>
  <si>
    <t>Explain why 'He met his Waterloo' may be difficult for a machine translation system.</t>
  </si>
  <si>
    <t>A strong answer explains the allusion to Napoleon's defeat and the idiomatic meaning of final failure.</t>
  </si>
  <si>
    <t>Cultural allusion explained</t>
  </si>
  <si>
    <t>P20</t>
  </si>
  <si>
    <t>Implicature cancellation</t>
  </si>
  <si>
    <t>An implication can be explicitly cancelled</t>
  </si>
  <si>
    <t>Explain the difference: 'Some students passed' vs. 'Some students passed—in fact, all did.'</t>
  </si>
  <si>
    <t>A strong answer says the usual some-not-all implicature is cancelled by the second clause.</t>
  </si>
  <si>
    <t>Cancellation explained</t>
  </si>
  <si>
    <t>P21</t>
  </si>
  <si>
    <t>Metaphor/Figurative meaning</t>
  </si>
  <si>
    <t>Conceptual metaphor</t>
  </si>
  <si>
    <t>One domain is understood through another</t>
  </si>
  <si>
    <t>Explain the metaphor: 'Time is a thief.'</t>
  </si>
  <si>
    <t>A strong answer says time is portrayed as taking away youth, opportunities, or moments; not literally stealing.</t>
  </si>
  <si>
    <t>Source-target mapping explained</t>
  </si>
  <si>
    <t>P22</t>
  </si>
  <si>
    <t>Metaphorical mapping</t>
  </si>
  <si>
    <t>Abstract experience is mapped onto concrete image</t>
  </si>
  <si>
    <t>Explain: 'Her argument collapsed.'</t>
  </si>
  <si>
    <t>A strong answer explains an argument is conceptualized as a physical structure that can fail.</t>
  </si>
  <si>
    <t>Argument-as-building mapping</t>
  </si>
  <si>
    <t>P23</t>
  </si>
  <si>
    <t>Personification</t>
  </si>
  <si>
    <t>A non-human entity is given human qualities</t>
  </si>
  <si>
    <t>Explain the meaning of: 'The city never sleeps.'</t>
  </si>
  <si>
    <t>A strong answer says the city is active all night; it is personified as if it could sleep.</t>
  </si>
  <si>
    <t>Personification recognized</t>
  </si>
  <si>
    <t>P24</t>
  </si>
  <si>
    <t>Dead metaphor</t>
  </si>
  <si>
    <t>A metaphorical expression has become conventional</t>
  </si>
  <si>
    <t>Explain why 'grasp an idea' is metaphorical.</t>
  </si>
  <si>
    <t>A strong answer says understanding is conceptualized as physically holding/grasping something.</t>
  </si>
  <si>
    <t>Understanding-as-grasping</t>
  </si>
  <si>
    <t>P25</t>
  </si>
  <si>
    <t>Idiom</t>
  </si>
  <si>
    <t>Meaning is conventional and non-literal</t>
  </si>
  <si>
    <t>What does 'spill the beans' mean, and why might literal translation fail?</t>
  </si>
  <si>
    <t>A strong answer says it means reveal a secret and literal translation may miss the idiomatic meaning.</t>
  </si>
  <si>
    <t>Idiom explained</t>
  </si>
  <si>
    <t>P26</t>
  </si>
  <si>
    <t>Hyperbole</t>
  </si>
  <si>
    <t>Intentional exaggeration</t>
  </si>
  <si>
    <t>Explain the non-literal meaning of: 'I have told you a million times.'</t>
  </si>
  <si>
    <t>A strong answer says it exaggerates frequency to express frustration; not literally one million.</t>
  </si>
  <si>
    <t>Exaggeration identified</t>
  </si>
  <si>
    <t>P27</t>
  </si>
  <si>
    <t>Metaphor vs literal meaning</t>
  </si>
  <si>
    <t>Context selects interpretation</t>
  </si>
  <si>
    <t>Explain both literal and metaphorical meanings of: 'The room exploded.'</t>
  </si>
  <si>
    <t>A strong answer distinguishes actual explosion from sudden loud excitement/noise/reaction.</t>
  </si>
  <si>
    <t>Literal/metaphoric contrast</t>
  </si>
  <si>
    <t>P28</t>
  </si>
  <si>
    <t>Symbolic meaning</t>
  </si>
  <si>
    <t>A concrete object carries abstract meaning</t>
  </si>
  <si>
    <t>In literature, what might 'a cage' symbolize besides a physical object?</t>
  </si>
  <si>
    <t>A strong answer mentions confinement, lack of freedom, social restriction, or psychological imprisonment.</t>
  </si>
  <si>
    <t>Symbolism explained</t>
  </si>
  <si>
    <t>P29</t>
  </si>
  <si>
    <t>Metonymy</t>
  </si>
  <si>
    <t>Association-based meaning</t>
  </si>
  <si>
    <t>Explain: 'Hollywood loves sequels.'</t>
  </si>
  <si>
    <t>A strong answer says Hollywood refers to the film industry, not just the geographic place.</t>
  </si>
  <si>
    <t>Industry metonymy recognized</t>
  </si>
  <si>
    <t>P30</t>
  </si>
  <si>
    <t>Emotion represented spatially/physically</t>
  </si>
  <si>
    <t>Explain the metaphor in: 'She fell into depression.'</t>
  </si>
  <si>
    <t>A strong answer explains depression is conceptualized as a container or downward movement/state.</t>
  </si>
  <si>
    <t>Emotion metaphor explained</t>
  </si>
  <si>
    <t>P31</t>
  </si>
  <si>
    <t>Register/Style</t>
  </si>
  <si>
    <t>Register adaptation</t>
  </si>
  <si>
    <t>Language must fit audience and situation</t>
  </si>
  <si>
    <t>Rewrite this sentence for a 10-year-old: 'The patient exhibited symptoms of acute respiratory distress.'</t>
  </si>
  <si>
    <t>A strong answer uses simple wording, e.g. 'The person had serious trouble breathing.'</t>
  </si>
  <si>
    <t>Audience adaptation</t>
  </si>
  <si>
    <t>P32</t>
  </si>
  <si>
    <t>Academic register</t>
  </si>
  <si>
    <t>Informal language is inappropriate in academic context</t>
  </si>
  <si>
    <t>Rewrite academically: 'The translation totally messes up the meaning.'</t>
  </si>
  <si>
    <t>A strong answer uses formal language, e.g. 'The translation significantly distorts the intended meaning.'</t>
  </si>
  <si>
    <t>Academic tone</t>
  </si>
  <si>
    <t>P33</t>
  </si>
  <si>
    <t>Legal register</t>
  </si>
  <si>
    <t>Precision and formality matter</t>
  </si>
  <si>
    <t>Rewrite in plain English: 'The tenant shall vacate the premises within thirty days.'</t>
  </si>
  <si>
    <t>A strong answer says the renter must leave the property/home within 30 days.</t>
  </si>
  <si>
    <t>Plain-language conversion</t>
  </si>
  <si>
    <t>P34</t>
  </si>
  <si>
    <t>Politeness/formality</t>
  </si>
  <si>
    <t>Tone changes interpersonal meaning</t>
  </si>
  <si>
    <t>Make this email sentence more polite: 'Send me the file today.'</t>
  </si>
  <si>
    <t>A strong answer uses please/could/would and a respectful tone.</t>
  </si>
  <si>
    <t>Polite request</t>
  </si>
  <si>
    <t>P35</t>
  </si>
  <si>
    <t>Stylistic preservation</t>
  </si>
  <si>
    <t>Translation/evaluation must preserve tone</t>
  </si>
  <si>
    <t>Explain why translating a poetic sentence too literally can be a failure.</t>
  </si>
  <si>
    <t>A strong answer says literal meaning may be preserved while rhythm, tone, imagery, or rhetorical effect is lost.</t>
  </si>
  <si>
    <t>Style-vs-literal insight</t>
  </si>
  <si>
    <t>P36</t>
  </si>
  <si>
    <t>Genre awareness</t>
  </si>
  <si>
    <t>Different genres have different conventions</t>
  </si>
  <si>
    <t>Why would a joke translated in a legal style fail pragmatically?</t>
  </si>
  <si>
    <t>A strong answer says the genre/register mismatch destroys humor, audience expectations, and communicative effect.</t>
  </si>
  <si>
    <t>Genre mismatch explained</t>
  </si>
  <si>
    <t>P37</t>
  </si>
  <si>
    <t>Formality mismatch</t>
  </si>
  <si>
    <t>Inappropriate formality affects meaning</t>
  </si>
  <si>
    <t>Explain the problem if a chatbot replies 'Yo, diagnosis looks bad' in a medical setting.</t>
  </si>
  <si>
    <t>A strong answer identifies inappropriate informality and lack of sensitivity/professionalism.</t>
  </si>
  <si>
    <t>Formality issue</t>
  </si>
  <si>
    <t>P38</t>
  </si>
  <si>
    <t>Audience design</t>
  </si>
  <si>
    <t>Speaker adapts expression to listener</t>
  </si>
  <si>
    <t>Rewrite for a professor: 'Can u check my thesis real quick?'</t>
  </si>
  <si>
    <t>A strong answer makes it formal and respectful, e.g. 'Would you be willing to review my thesis when convenient?'</t>
  </si>
  <si>
    <t>Professor-appropriate tone</t>
  </si>
  <si>
    <t>P39</t>
  </si>
  <si>
    <t>Pragmatic appropriateness</t>
  </si>
  <si>
    <t>Correct content can still be socially inappropriate</t>
  </si>
  <si>
    <t>Explain why 'Your paper is bad' may be pragmatically inappropriate feedback.</t>
  </si>
  <si>
    <t>A strong answer discusses face-threat, bluntness, lack of constructive specificity, and politeness norms.</t>
  </si>
  <si>
    <t>Face-threat identified</t>
  </si>
  <si>
    <t>P40</t>
  </si>
  <si>
    <t>Tone transfer</t>
  </si>
  <si>
    <t>Meaning includes attitude</t>
  </si>
  <si>
    <t>Explain why tone matters when evaluating LLM responses.</t>
  </si>
  <si>
    <t>A strong answer says tone affects politeness, trust, suitability, implied attitude, and communicative success.</t>
  </si>
  <si>
    <t>Tone importance explained</t>
  </si>
  <si>
    <t>Score</t>
  </si>
  <si>
    <t>Meaning</t>
  </si>
  <si>
    <t>Incorrect or missing</t>
  </si>
  <si>
    <t>The answer misunderstands the prompt, gives a literal answer when non-literal meaning is required, misses the main inference, or invents unsupported information.</t>
  </si>
  <si>
    <t>Partially correct</t>
  </si>
  <si>
    <t>Fully correct</t>
  </si>
  <si>
    <t>The answer identifies the relevant meaning/inference/style issue accurately and explains it clearly using context.</t>
  </si>
  <si>
    <t>Evaluation dimensions</t>
  </si>
  <si>
    <t>Description</t>
  </si>
  <si>
    <t>Example</t>
  </si>
  <si>
    <t>Semantic accuracy</t>
  </si>
  <si>
    <t>Does the model capture the sentence meaning correctly?</t>
  </si>
  <si>
    <t>Recognizing both meanings of 'bank'.</t>
  </si>
  <si>
    <t>Pragmatic inference</t>
  </si>
  <si>
    <t>Does the model infer implied meaning from context?</t>
  </si>
  <si>
    <t>Understanding that 'I have a dentist appointment' may mean refusal.</t>
  </si>
  <si>
    <t>Figurative interpretation</t>
  </si>
  <si>
    <t>Does the model avoid excessive literalism?</t>
  </si>
  <si>
    <t>Understanding 'Time is a thief' metaphorically.</t>
  </si>
  <si>
    <t>Register appropriateness</t>
  </si>
  <si>
    <t>Does the model adapt tone to audience/genre?</t>
  </si>
  <si>
    <t>Rewriting technical language for a child.</t>
  </si>
  <si>
    <t>Hallucination control</t>
  </si>
  <si>
    <t>Does the model avoid adding unsupported facts?</t>
  </si>
  <si>
    <t>Not inventing context absent from the prompt.</t>
  </si>
  <si>
    <t>Total prompts</t>
  </si>
  <si>
    <t>Categories tested</t>
  </si>
  <si>
    <t>Semantic ambiguity; Pragmatics; Metaphor/Figurative meaning; Register/Style</t>
  </si>
  <si>
    <t>Scoring scale</t>
  </si>
  <si>
    <t>0 = incorrect, 1 = partial, 2 = correct</t>
  </si>
  <si>
    <t>Category</t>
  </si>
  <si>
    <t>Prompt count</t>
  </si>
  <si>
    <t>Model</t>
  </si>
  <si>
    <t>Overall average</t>
  </si>
  <si>
    <t>Prompts scored</t>
  </si>
  <si>
    <t>Max possible</t>
  </si>
  <si>
    <t>Completion %</t>
  </si>
  <si>
    <t>Section</t>
  </si>
  <si>
    <t>Title</t>
  </si>
  <si>
    <t>Research aim</t>
  </si>
  <si>
    <t>Research question</t>
  </si>
  <si>
    <t>Methodology</t>
  </si>
  <si>
    <t>Evaluation scale</t>
  </si>
  <si>
    <t>Expected analysis</t>
  </si>
  <si>
    <t>The possible meanings of this sentence are:
1. I saw her wearing a black dress. 
2. I saw her with a black dress. 
3. I saw her wearing a black dress.</t>
  </si>
  <si>
    <t>Explain the possible meanings of: 'I saw her with my black dress.'</t>
  </si>
  <si>
    <t>A strong answer explains that the English language allows prepositional phrases to attach to either the noun immediately preceding them ("her") or the verb ("saw").</t>
  </si>
  <si>
    <t>The ambiguity in this sentence is that it's not clear whether everyone failed the exam or passed it.</t>
  </si>
  <si>
    <t>In this sentence, 'she' could refer to either Anna or Maria.</t>
  </si>
  <si>
    <t>The different meanings of 'paper' in this sentence are:
1. She submitted a paper about paper recycling.
2. She wrote a paper about paper recycling.
3. She read a paper about paper recycling.</t>
  </si>
  <si>
    <t>The ambiguity in this sentence is that it's not clear whether the dog was photographed in the park or not.</t>
  </si>
  <si>
    <t>The model partially captures the meaning but provides an ambiguous explanation.</t>
  </si>
  <si>
    <t>The possible meanings of this sentence are:
1. The White House issued a statement.
2. The White House issued a statement about a certain issue.
3. The White House issued a statement about the president's plans.</t>
  </si>
  <si>
    <t>Kick the bucket' is not understood compositionally because it is a phrase that is not composed of individual words. It is a single word that cannot be broken down into smaller parts.</t>
  </si>
  <si>
    <t>'Small elephant' and 'small mouse' do not mean the same size because 'small' is an adjective describing the size of the animal, while 'small' is a noun referring to the actual size of the animal.</t>
  </si>
  <si>
    <t>In this sentence, there is no information about the specific time or location where the meeting will take place.</t>
  </si>
  <si>
    <t>B is indicating that they will not be able to attend the meeting due to a dental appointment.</t>
  </si>
  <si>
    <t>This implies that a certain number of students successfully completed and passed the exam.</t>
  </si>
  <si>
    <t>It implies that Maria has stopped smoking.</t>
  </si>
  <si>
    <t>The use of 'Could you possibly' implies a polite request or suggestion, suggesting that the person is not sure if the action is possible or appropriate.</t>
  </si>
  <si>
    <t>Can you pass the salt' is a request or invitation for the person to pass the salt.</t>
  </si>
  <si>
    <t>Well, that was brilliant' is an ironic or sarcastic expression, implying that the person thinks the performance was not good, but still finds it impressive.</t>
  </si>
  <si>
    <t>B is implying that they do not like the soup because it is too salty.</t>
  </si>
  <si>
    <t>B is indicating that John is outside Mary's house, and the car is red. The implication is that Mary might be waiting for John outside her house.</t>
  </si>
  <si>
    <t>He met his Waterloo' is a historical phrase that means a significant defeat or failure. Machine translation systems may struggle with idiomatic expressions and historical references, making it challenging for them to accurately translate the phrase.</t>
  </si>
  <si>
    <t>Some students passed' implies that some students successfully completed the exam, while 'Some students passed—in fact, all did' suggests that all students successfully completed the exam. The latter implies that all students did pass the exam.</t>
  </si>
  <si>
    <t>The metaphor 'Time is a thief' is a common expression that suggests time passes quickly and can steal away opportunities or experiences. It implies that time can be fleeting and that it's important to make the most of the time we have while we can.</t>
  </si>
  <si>
    <t>The city never sleeps' means that the city is always active and bustling, with people and activities happening around the clock.</t>
  </si>
  <si>
    <t>'Grasp an idea' is metaphorical because it suggests that you are understanding or comprehending something fully and completely, as if you have a firm grasp on it.</t>
  </si>
  <si>
    <t>Spill the beans' means to reveal a secret or information that was previously kept confidential. In a literal translation, it might not be possible to accurately convey the intended meaning, as the verb 'spill' is not typically used to describe revealing information in a literal sense.</t>
  </si>
  <si>
    <t>'I have told you a million times' means that you have repeated the same information multiple times, but it doesn't necessarily mean you have told it a million times. The phrase is often used to emphasize the number of times something has been said, but not necessarily the actual number of repetitions.</t>
  </si>
  <si>
    <t>'The room exploded' can be both literal and metaphorical. Literally, it means that the room was suddenly filled with a loud noise and debris, indicating an explosion or a violent event. Metaphorically, it can also mean that something unexpectedly and dramatically happened or that something has become very intense or overwhelming.</t>
  </si>
  <si>
    <t>In literature, 'a cage' can symbolize various things beyond just a physical object. It can represent confinement, restriction, or the feeling of being trapped or limited. It can also represent a metaphorical prison, where the character is trapped or restricted in some way, whether it's emotionally, mentally, or physically.</t>
  </si>
  <si>
    <t>'Hollywood loves sequels' means that the film industry in Hollywood often produces sequels to popular movies. This is because sequels can be profitable due to the built-in audience familiar with the original film, as well as the potential for new storylines, characters, and themes.</t>
  </si>
  <si>
    <t>She fell into depression' is a metaphorical expression that means she experienced a period of intense sadness, hopelessness, or despair. It's not a literal fall but rather a figurative description of how she felt.</t>
  </si>
  <si>
    <t>The patient had symptoms like trouble breathing and coughing.</t>
  </si>
  <si>
    <t>The translation is inaccurate and does not accurately represent the original meaning.</t>
  </si>
  <si>
    <t>The tenant has to leave the place within 30 days.</t>
  </si>
  <si>
    <t>Could you please send me the file by today?</t>
  </si>
  <si>
    <t>Translating a poetic sentence too literally can lead to a loss of the original beauty and meaning, as the words may not convey the intended emotion or imagery.</t>
  </si>
  <si>
    <t>A joke translated in a legal style may not be understood as intended, as the words and phrasing may not be appropriate or relevant in a legal context.</t>
  </si>
  <si>
    <t>If a chatbot replies 'Yo, diagnosis looks bad' in a medical setting, it may not provide accurate or helpful information, as the chatbot is not a licensed medical professional and cannot diagnose or provide medical advice.</t>
  </si>
  <si>
    <t>Can you please review my thesis and let me know if there are any issues or questions?</t>
  </si>
  <si>
    <t>'Your paper is bad' may be inappropriate pragmatically because it is too harsh or critical, and may not provide specific suggestions for improvement.</t>
  </si>
  <si>
    <t>Tone is crucial in evaluating LLM responses because it can significantly impact the overall understanding and relevance of the information provided. Tone refers to the emotional or attitudinal aspect of language, which can convey a message's intent, emotion, or attitude.</t>
  </si>
  <si>
    <t>Minerva_Response</t>
  </si>
  <si>
    <t>Minerva</t>
  </si>
  <si>
    <t>The ambiguity in "The bank was crowded after lunch" stems from the word bank, which has two distinct meanings:
Financial Institution: A building where people manage money. (e.g., A rush of customers depositing checks after their midday break).
Riverbank: The land alongside a body of water. (e.g., A crowd of people gathering by the water to enjoy the afternoon sun).
Because "after lunch" is a time period that logically applies to both commercial errands and outdoor leisure, the sentence lacks the context needed to distinguish between them.</t>
  </si>
  <si>
    <t>Gemini_Response</t>
  </si>
  <si>
    <t>This sentence is an example of syntactic ambiguity (or structural ambiguity). The confusion lies in what the prepositional phrase "with my black dress" is actually modifying.
There are two primary interpretations:
She was wearing it: You saw a woman who happened to be dressed in your black dress.
You were wearing it: You were wearing your black dress at the moment you spotted her.
A Third (Less Likely) Meaning: The "Tool" interpretation: In a very literal or abstract sense, it could imply you used the dress as an instrument to see her (e.g., "I saw her [by using] my black dress"), though this is grammatically strained and usually only appears in wordplay.</t>
  </si>
  <si>
    <t>The ambiguity in this sentence is a matter of scope. The word "not" can apply to the sentence in two different ways, leading to two opposite meanings:
1. Partial Failure (Not everyone)
This is the most common interpretation. It suggests that while some people passed, not all of them did.
Meaning: "Not everyone passed." (Some passed, some failed).
Logic: The negation "not" only applies to the word "everyone."
2. Total Failure (No one)
This interpretation suggests that zero people passed the exam.
Meaning: "Everyone failed." (No one passed).
Logic: The negation "not" applies to the action of "passing."</t>
  </si>
  <si>
    <t>Score_Minerva_0_2</t>
  </si>
  <si>
    <t>Score_Gemini_0_2</t>
  </si>
  <si>
    <t>Notes_Minerva</t>
  </si>
  <si>
    <t>Notes_Gemini</t>
  </si>
  <si>
    <t>In this sentence, the ambiguity is pronominal, meaning the pronoun "she" could refer to two different people.
1. Anna (The Speaker)
In this scenario, Anna is announcing her own victory.
Meaning: Anna said to Maria, "I won the prize."
2. Maria (The Listener)
In this scenario, Anna is delivering the good news to Maria about Maria's victory.
Meaning: Anna said to Maria, "You won the prize."</t>
  </si>
  <si>
    <t>The word "paper" in this sentence is an example of polysemy, where a single word has multiple related meanings. The ambiguity is resolved by the context of each placement:
1. The Academic Document
In the first instance ("submitted a paper"), the word refers to a formal written composition.
Meaning: An essay, research report, or academic article.
Context: It is a specific piece of intellectual work intended for a teacher, editor, or conference.
2. The Material
In the second instance ("paper recycling"), the word refers to the physical substance.
Meaning: The thin material manufactured from wood pulp used for writing, printing, or packaging.
Context: It refers to the physical waste product that can be processed and reused.</t>
  </si>
  <si>
    <t>The ambiguity in this sentence is syntactic, meaning the structure allows the phrase "in the park" to attach to two different parts of the sentence.
1. The Location of the Action
In this interpretation, the phrase "in the park" describes where the photographer was standing.
Meaning: While she was at the park, she took a photo of a dog (the dog could have been anywhere, but she was definitely in the park).
2. The Location of the Dog
In this interpretation, the phrase "in the park" describes the dog.
Meaning: She took a photo of a specific dog that was located in the park (the photographer might have been standing on a sidewalk outside the park using a zoom lens).</t>
  </si>
  <si>
    <t>This sentence is an example of metonymy, where a place or entity is used to represent the people associated with it. The ambiguity lies in how literally or broadly you define the "source" of the statement:
1. The Institution (Official)
This is the standard political interpretation. It refers to the Executive Office of the President as a whole.
Meaning: An official spokesperson or staff member released the message on behalf of the administration.
2. The President (Direct)
In a more specific sense, it can be a shorthand for the President of the United States.
Meaning: The President personally authored or authorized the specific words in the statement.
3. The Physical Building (Literal/Absurd)
While incorrect in a real-world context, a purely literal reading of the grammar suggests the physical structure itself spoke.
Meaning: The bricks and mortar of 1600 Pennsylvania Avenue somehow produced a document.</t>
  </si>
  <si>
    <t>To say a phrase is not compositional means that you cannot determine the meaning of the whole by looking at the meanings of its individual parts.
In the case of "kick the bucket," the phrase is an idiom. Here is why it fails the test of compositionality:
1. Literal vs. Figurative Gap
If you look at the individual components:
Kick: To strike with the foot.
The: A definite article.
Bucket: A cylindrical container used for holding liquids.
Compositionally, the sentence describes a physical interaction between a foot and a plastic or metal pail. However, the actual meaning is "to die." There is no logical, modern link between "buckets" and "mortality" based on the definitions of the words alone.
2. Lack of Substitutability
In compositional language, you can usually swap out a word for a synonym and keep the same general meaning.
Compositional: "He struck the pail" (The meaning stays roughly the same).
Non-compositional: "He booted the cylinder" (The idiomatic meaning of "to die" completely disappears).
3. Syntactic Rigidity
Because the phrase is a "frozen" unit, you cannot manipulate the grammar as you would with a normal sentence. For example, you can say "The bucket was kicked by him" in a literal sense, but in a figurative sense, it sounds bizarre and loses its idiomatic punch.</t>
  </si>
  <si>
    <t>This is an example of relative or intersective ambiguity. The word "small" is not an absolute measurement; its meaning is entirely dependent on the noun it modifies.
In linguistics and logic, adjectives like "small" are known as scalar adjectives. Here is why the sizes differ:
1. Relative Scales
When you use the word "small," you aren't referring to a universal scale of size. Instead, you are referring to a class-specific scale.
"Small elephant" means "small for an elephant."
"Small mouse" means "small for a mouse."
2. Differing Prototypes
Our brains hold a "prototype" or an average size for every category.
The average weight of an elephant is roughly 5,000 kg. A "small" one might be 2,000 kg.
The average weight of a mouse is roughly 20 grams. A "small" one might be 12 grams.
Even though the same word is used, the underlying baseline shifts.
3. Attribute vs. Absolute
If we used an absolute adjective, like "grey," the meaning remains constant: a grey mouse and a grey elephant share the same color property.
However, "small" is a syncategorematic word—it cannot be defined independent of the category it is attached to. This is why a "small elephant" is still much, much larger than a "giant mouse."</t>
  </si>
  <si>
    <t>This sentence is a perfect example of deictic expressions (or deixis). These are words that point to specific times, places, or people, but their meaning changes entirely depending on the context of the utterance.
Without knowing the physical and temporal "coordinates" of the speaker, the following information is missing:
1. Place (Deictic: "here")
The word "here" is a spatial marker. Without being present when the sentence was said, we don't know the location.
Missing Info: Is "here" a specific coffee shop, a street corner, a building, or a spot on a map?
2. Time (Deictic: "tomorrow")
The word "tomorrow" is a temporal marker relative to the speaker's "now."
Missing Info: What was the date the sentence was spoken? If the note was written on a Tuesday, "tomorrow" is Wednesday. If you find the note years later, the information is useless.
3. Person (Deictic: "I" and "you")
These are person markers.
Missing Info: We don't know the identities of the speaker or the listener. "I" could be anyone, and "you" could be a specific individual or a group of people.</t>
  </si>
  <si>
    <t>This is an example of a conversational implicature. Even though Person B doesn't explicitly say "yes" or "no," their response is understood as a "no" (or at least a "likely no").
This works because of how we process communication:
1. The Cooperative Principle
In linguistics (specifically Grice’s Maxims), we assume that people in a conversation are being helpful and relevant. If B mentions a dentist appointment, A assumes that this information is directly related to the question about the meeting.
2. The Conflict of Schedule
The implication relies on common real-world knowledge:
Meetings and dentist appointments are both scheduled events.
A person cannot usually be in two places at once.
Therefore, the appointment serves as a competing priority or an excuse.
3. The Logical Chain
The listener (Person A) performs a rapid mental calculation:
B mentioned an appointment.
Appointments often overlap with work hours.
B is telling me this to explain why they cannot attend.
Conclusion: Person B is declining the invitation.</t>
  </si>
  <si>
    <t>The ambiguity in this sentence is that it's not clear whether the bank was crowded before or after lunch.</t>
  </si>
  <si>
    <t>In pragmatics, this statement carries a scalar implicature. While the literal meaning of "some" is "at least one," the conversational meaning is usually more specific.
Here are the two ways to interpret it:
1. The Literal (Logical) Meaning
Logically, "some" simply means more than zero.
If every student passed the exam, the statement "some students passed" is technically still true.
However, in normal conversation, this interpretation feels deceptive or "under-informative."
2. The Conversational Implicature
Most listeners will assume the teacher means "Some, but not all."
This is based on the Maxim of Quantity: We expect speakers to be as informative as possible.
If the teacher knew that everyone passed, they would have used the stronger word "all." By choosing the weaker word "some," the teacher implies that the stronger word is false.
The "Scale" of Certainty
Linguists view these words on a scale:
&lt; All, Most, Many, Some, Few &gt;
When you pick a word lower on the scale (like some), you implicitly negate all the words above it. So, the teacher is effectively saying:
"I’m not saying many passed..."
"I’m definitely not saying all passed..."
Summary of the Implication:
The most likely takeaway is that at least a few students failed. If a student hears this from their teacher, they would likely feel a mix of hope (they might be in the "some") and anxiety (not everyone made it).</t>
  </si>
  <si>
    <t>The sentence "Maria stopped smoking" contains a presupposition, which is an underlying assumption that must be true for the sentence to make sense or be meaningful.
The Primary Presupposition
Maria used to smoke.
For someone to "stop" an action, they must have been performing that action regularly in the past.
Why this is a Presupposition
In linguistics, presuppositions are unique because they survive the negation test. If you turn the sentence into a negative, the underlying assumption remains the same:
Positive: "Maria stopped smoking." (She used to smoke).
Negative: "Maria did not stop smoking." (She still used to smoke; she just hasn't quit).
In both cases, the fact that Maria was a smoker is taken as a "given" or a background fact.
The "Trigger" Word
The word "stopped" is known as an aspectual verb (similar to started, continued, or finished). These verbs act as triggers that automatically refer to a previous state of being or a change in state.</t>
  </si>
  <si>
    <t>The difference between these two sentences lies in Pragmatics, specifically the study of Politeness Theory. While both sentences share the same goal (getting the window shut), they use very different "speech acts" to get there.
1. Direct vs. Indirect Speech Acts
"Close the window" is a Direct Speech Act. It uses the imperative mood (a command). It is efficient but can be perceived as rude or bossy because it leaves the listener with no social "exit."
"Could you possibly close the window?" is an Indirect Speech Act. On the surface, it’s a question about the listener's physical ability, but everyone understands it as a request.
2. Face-Saving Acts
Linguists Penelope Brown and Stephen Levinson argued that we use polite language to protect a person's "Face":
Negative Face: The desire to be autonomous and not be told what to do.
By saying "Could you possibly...", the speaker is acknowledging the listener's right to say no. It frames the order as a favor rather than a demand, which protects the listener's negative face.
3. Mitigating the "Threat"
In linguistics, a request is a Face-Threatening Act (FTA). To soften the blow, we use "hedges" and "modal verbs":
Modal Verb ("Could"): Softens the command into a possibility.
Adverb ("Possibly"): Adds a layer of hesitation, suggesting the speaker doesn't want to be a burden.
4. Power Dynamics and Social Distance
Someone would choose the longer, more complex version based on three factors:
Social Distance: You use more indirect language with a stranger than with a sibling.
Relative Power: An employee is more likely to use indirect language with a boss.
Size of the Imposition: If it's freezing outside, a direct command might be okay. If it's only slightly breezy, you use more "politeness markers" because your request is less urgent.</t>
  </si>
  <si>
    <t>In context, the sentence "Can you pass the salt?" is an indirect speech act.
While it is grammatically structured as a question (an interrogative), its intended function is not to gather information, but to issue a request.
The Two Layers of the Act
Linguist J.L. Austin identified three levels of a speech act. For this specific sentence, they work like this:
Locutionary Act: The literal meaning. You are asking if the person has the physical ability to move the salt from their location to yours.
Illocutionary Act: The intended meaning (the "force"). You are making a polite request or a command for the salt.
Perlocutionary Act: The actual effect on the listener. If successful, the listener understands the request and hands you the salt.
Why it is "Indirect"
A direct speech act would be the imperative: "Pass the salt."
We use the indirect version ("Can you...") because of Politeness Theory. By framing a command as a question about ability, the speaker provides the listener with the formal option to say "no" (even though both parties know a "no" would be considered rude in most social settings).
The Felicity Conditions
For this speech act to work properly, certain "felicity conditions" must be met:
The salt must actually be near the listener.
The speaker must actually want the salt.
The listener must be capable of passing it.
If you asked this when there was no salt on the table, the speech act would "misfire" and likely be interpreted as a joke or a sarcastic comment.</t>
  </si>
  <si>
    <t>This is a classic example of verbal irony, specifically a form known as sarcasm.
1. The Disparity Between Word and Fact
The speaker is intentionally creating a gap between the literal meaning (the words used) and the contextual reality (the terrible performance).
Literal Meaning: The performance was highly successful, intelligent, or impressive.
Intended Meaning: The performance was a complete disaster, embarrassing, or a failure.
2. The Pragmatic Function
The speaker uses irony to express an attitude rather than just a fact. By choosing the word "brilliant" to describe a failure, they are highlighting the absurdity of the situation. It often serves to:
Add a layer of humor or wit to a negative situation.
Criticize the performance more sharply than a simple "that was bad" would.
Signal to the listener that they are aware of just how poorly things went.
3. Paralinguistic Cues
In spoken language, the intended meaning is usually signaled through prosody (tone of voice):
Heavy Stress: Emphasizing the word "brilliant" more than usual.
Elongation: Stretching the vowels ("bri-liant").
Flat Intonation: Using a deadpan or monotone delivery to contrast with the high-energy meaning of the word itself.</t>
  </si>
  <si>
    <t>In this exchange, Person B is using conversational implicature to provide an answer without explicitly saying "Yes" or "No."
By describing a specific quality of the soup rather than their feelings about it, Person B is implying that they do not like the soup.
1. Grice’s Maxim of Relation
Under the Cooperative Principle, we assume that people’s contributions to a conversation are relevant. When Person A asks for an opinion, they expect a "Yes" or "No."
By pivoting to a factual observation ("It is very salty"), Person B is signaling that a direct "Yes" is not possible.
2. The Negative Inference
In culinary contexts, "very salty" is generally considered a flaw or an imbalance.
If Person B liked the soup, they would likely lead with a positive adjective ("It’s delicious!") even if it were salty.
Leading with a criticism serves as a polite rejection. It focuses on the soup's objective properties rather than Person B's subjective "dislike," which feels less harsh.
3. The "Flouting" of Quantity
Person B is technically giving less information than requested (they didn't answer the "do you like it" part). This is called "flouting a maxim."
When a speaker flouts a maxim, the listener has to perform a mental leap: "If they aren't saying they like it, and they're pointing out a defect, they must mean they don't like it."</t>
  </si>
  <si>
    <t>This exchange is a classic example of an indirect response that relies on Grice’s Maxim of Relation. On the surface, the location of a car seems unrelated to John’s whereabouts, but in a cooperative conversation, the listener must connect the dots to find the implied meaning.
1. The Primary Implication: John is at Mary's house
The most likely implication is that John is currently at Mary’s house.
The Logic: This assumes a "shared knowledge" between A and B—specifically, that John drives a red car.
The Mental Leap: Person B provides a piece of evidence (the car's location) rather than a direct answer, allowing Person A to draw the obvious conclusion.
2. The Secondary Implication: Mary and John are together
By linking John (via his car) to Mary’s house, Person B might be subtly implying more than just his location.
The Context: Depending on the tone, this could suggest they are having a meeting, hanging out, or even imply a romantic connection.</t>
  </si>
  <si>
    <t>He met his Waterloo" is a metonymic idiom that presents several hurdles for machine translation (MT) systems. Unlike literal sentences, its meaning cannot be calculated by looking up the individual words in a dictionary.
Here is why machines struggle with it:
1. Lack of Compositionality
As discussed with "kick the bucket," this phrase is non-compositional.
Literal components: "Met" (encountered), "his" (possessive), "Waterloo" (a Belgian municipality).
Actual meaning: To experience a final, crushing defeat after a period of success.
If an MT system translates this word-for-word into another language (e.g., Japanese or Arabic), the reader will think the subject literally traveled to a specific city in Belgium to meet someone.
2. Cultural and Historical Dependency
The phrase is an allusion to the Battle of Waterloo in 1815, where Napoleon Bonaparte was finally defeated.
To understand the sentence, the "translator" must have access to a database of Western history.
In many cultures, "Waterloo" has no symbolic value. A machine would need to decide whether to keep the name (which loses the meaning) or replace it with a local cultural equivalent (which might change the tone).
3. Pronominal Ambiguity
The use of the possessive pronoun "his" is tricky for algorithms.
In "He met his Waterloo," the word "his" doesn't mean Napoleon's Waterloo; it signifies that the defeat belongs to the subject of the sentence.
An MT system might struggle to determine the correct gender or case for "his" in languages with complex grammatical gender (like French or German) because "Waterloo" isn't a standard object you can own.</t>
  </si>
  <si>
    <t>The difference between these two statements highlights the distinction between Conversational Implicature and Logical Entainment.
In linguistics, the phrase "in fact" is a cancelation tool. It allows a speaker to move from a weaker claim to a stronger one without contradicting themselves.
Statement A ("Some students passed"): This carries a Scalar Implicature. Because the speaker chose the word "some" instead of "all," the listener naturally assumes "some, but not all."
Statement B ("Some... in fact, all did"): This explicitly cancels that implicature. The speaker clarifies that while the "some" threshold was met, the "all" threshold was also met.</t>
  </si>
  <si>
    <t>The metaphor "Time is a thief" personifies time as a criminal who steals from us.
Core Meaning
Irreversibility: Just as a thief takes something you cannot get back, time "steals" moments, youth, and opportunities.
Stealth: A thief operates quietly and unnoticed. Similarly, you don't notice time passing hour by hour, but suddenly you realize years have vanished.
Loss of Value: It suggests that our lives and memories are precious "possessions" that are gradually depleted as time progresses.
Components
The Actor (Time): The force that moves forward.
The Action (Stealing): The inevitable process of aging and forgetting.
The Victim (Us): Humans who lose their most limited resource.</t>
  </si>
  <si>
    <t>Her argument collapsed' means that her argument no longer makes sense or is no longer valid. In other words, her reasons no longer hold up or have no logical support.</t>
  </si>
  <si>
    <t>This is a structural metaphor that treats an abstract idea (an argument) as a physical building or tower.
Foundation: Arguments rely on "grounding" or premises. If the premises are proven false, the foundation is removed.
Support: Just as a building needs pillars, an argument needs evidence. "Collapsed" implies that once the supporting facts were debunked, the entire logical structure could no longer stand.
Total Failure: Unlike an argument that is "weak" (a small crack in the wall), a "collapsed" argument is a total loss; it has been completely discredited and is no longer useful.</t>
  </si>
  <si>
    <t>This is a personification that attributes the human characteristic of wakefulness to an inanimate object (the city).
Core Meanings:
Constant Activity: It implies that business, transportation, and social life continue 24/7. Even at night, the city remains "active" rather than "resting."
Vibrancy and Energy: It suggests a place that is tireless, productive, and perhaps overwhelming or loud.
Economic &amp; Social Hub: It refers to urban centers where the shift from day to night does not halt the flow of people or commerce (e.g., New York City).
Linguistic Mechanism:
It uses Metonymy, where "the city" stands for the people and systems within it. The physical buildings don't sleep, but the collective behavior of the residents makes it appear as though the entity itself is always awake.</t>
  </si>
  <si>
    <t>This is a conceptual metaphor that maps a physical action onto a mental process. It follows the formula: Understanding is Grasping.
Physical Source: In the physical world, "grasping" involves using your hands to seize an object and hold it firmly.
Mental Target: In the mind, "an idea" is an abstract concept with no physical form. You cannot literally touch it.
The Link: We equate the physical control of an object with the intellectual control of information.
Why we use it:
Tangibility: It makes an abstract thought feel like a solid object.
Effort: It implies that some ideas are "slippery" or "out of reach," requiring mental effort to catch.
Possession: Once you "grasp" it, the idea belongs to you, much like holding a tool in your hand.</t>
  </si>
  <si>
    <t>This is a hyperbole, a figure of speech that uses extreme exaggeration to emphasize a point. It is not meant to be taken literally.
Core Meanings:
Emphasis on Frequency: The speaker means they have repeated themselves "many times." The number "million" serves as a placeholder for "too many."
Expression of Frustration: It signals that the speaker is annoyed, impatient, or feels ignored by the listener.
Urgency: By exaggerating the scale, the speaker highlights the importance of the instruction or fact being repeated.
The Linguistic Function:
Intensity over Accuracy: Hyperbole prioritizes the emotional truth (the feeling of endless repetition) over the mathematical truth (the actual count).
Attention-Grabbing: It forces the listener to acknowledge the severity of the speaker's irritation.</t>
  </si>
  <si>
    <t>1. Literal Meaning
The room underwent a rapid, violent expansion of energy, typically caused by a bomb, gas leak, or fire.
Physicality: The walls, windows, and contents were physically shattered or blown outward.
Sound: A loud, concussive noise occurred.
Result: The room is likely destroyed or structurally compromised.
2. Metaphorical Meaning
The room became suddenly filled with intense noise, activity, or emotion.
Auditory: "The room exploded with laughter/applause." The sound was sudden and overwhelming.
Emotional: "The room exploded in anger." A peaceful atmosphere was instantly replaced by conflict.
Energetic: "The room exploded into life." A shift from silence to frantic movement.
Comparison
Both meanings share the core concept of a sudden, forceful transition from a state of containment to a state of total release. In the metaphor, the "energy" is social or emotional rather than physical.</t>
  </si>
  <si>
    <t>In literature, a cage is a potent archetype that symbolizes various forms of entrapment and restricted agency.
1. Social and Cultural Constraints
It often represents the "invisible" barriers of society, such as gender roles, class structures, or religious expectations. The character is physically free to walk around but is socially imprisoned by what they are "allowed" to be.
Example: Maya Angelou’s I Know Why the Caged Bird Sings uses the cage to symbolize the systemic oppression of racism and sexism.
2. Psychological or Emotional Imprisonment
A cage can represent the human mind. It symbolizes being trapped by:
Trauma or Guilt: An inability to move past the "bars" of a previous event.
Anxiety: A self-imposed prison of fear that prevents a character from taking risks.
Addiction: The cycle of behavior that a character cannot break.
3. Domesticity
In feminist literature, the cage is frequently a metaphor for the home. While a house is meant to be a sanctuary, it becomes a cage when it limits a woman’s intellectual or professional life to purely domestic duties.
4. The Human Body
In philosophical or spiritual literature, the body is sometimes depicted as a "fleshly cage" for the soul. This symbolizes the frustration of being a finite, mortal being with infinite thoughts or desires.
5. Protection vs. Imprisonment (The Gilded Cage)
A "gilded cage" symbolizes a life of luxury without liberty. The character has everything they want—wealth, beauty, comfort—but lacks the one thing they need: the freedom to leave or make their own choices.</t>
  </si>
  <si>
    <t>This is a metonymy, where a specific location ("Hollywood") stands in for an entire industry and its people.
1. The Literal vs. Metonymic
Literal: A neighborhood in Los Angeles, California. A collection of buildings and streets cannot "love" anything.
Metonymic: "Hollywood" represents the film industry, including studio executives, producers, and financiers.
2. The Implication: Financial Safety
When someone says this, they are usually commenting on the business strategy of film studios:
Risk Aversion: Original movies are financial risks. Sequels have a "built-in" audience and brand recognition.
Predictability: Studios prefer a "guaranteed" return on investment (ROI) over creative experimentation.
Franchise Building: It implies that the industry prioritizes long-term intellectual property (IP) over standalone stories.
3. Contextual Tone
Depending on the speaker, this phrase can be:
Descriptive: Simply explaining why there are so many Marvel or Fast &amp; Furious movies.
Critical: Suggesting that the industry has become unoriginal, lazy, or overly focused on profit at the expense of art.</t>
  </si>
  <si>
    <t>This phrase utilizes a spatial metaphor that equates emotions with physical depth and gravity. Specifically, it follows the conceptual mapping: Happy is Up / Sad is Down.
1. The Container Metaphor
The word "into" suggests that depression is a container or a physical location.
Implication: Once you are "in" it, you are surrounded by it. It becomes an environment that dictates your movements and limits your vision, rather than just a fleeting feeling.
2. The Lack of Control (The "Fall")
A "fall" is an involuntary physical event caused by gravity.
Implication: The person did not choose to enter this state. It suggests a sudden or helpless descent where the individual lost their "footing" or psychological balance.
3. The Depth (The Pit)
Depression is often conceptualized as a pit, hole, or valley.
Verticality: Being "down" represents a low energy state, whereas being "up" or "high" represents joy.
Effort to Escape: Just as it is harder to climb out of a hole than to walk on flat ground, the metaphor implies that leaving depression requires significant "climbing" or external assistance.
4. The Weight
By using the imagery of a fall, the metaphor implies that the emotional state has a downward pull. It captures the feeling of heaviness and the difficulty of "rising" to meet the demands of daily life.</t>
  </si>
  <si>
    <t>"The person was having a very hard time breathing and needed help right away."</t>
  </si>
  <si>
    <t>"The translation significantly distorts the intended meaning of the source text."</t>
  </si>
  <si>
    <t>"The renter must move out within 30 days."</t>
  </si>
  <si>
    <t>"Could you please send me the file by the end of the day?"</t>
  </si>
  <si>
    <t>Translating poetry literally often fails because it prioritizes the dictionary definition of words over the soul of the poem.
1. Loss of Connotation
Words carry emotional "baggage" that varies by culture. A literal translation might select a word with the correct meaning but the wrong "flavor," making a romantic poem sound clinical or a serious one sound silly.
2. Destruction of Form
Poetry relies on meter, rhythm, and rhyme.
Literal translation focuses on the content (what is said).
Poetry relies on the music (how it sounds).
If you translate a sonnet literally, you may keep the facts but lose the rhythm that makes it a sonnet.
3. Cultural Idioms
Metaphors are rarely universal. For example, a "cold heart" might mean "unfeeling" in English, but in another language, "cold" might imply "calm" or "dead." A literal translation misses these cultural nuances.
4. The "Semantic Gap"
Some languages have words that encompass multiple concepts or very specific feelings (like the German Weltschmerz). A literal word-for-word swap often leaves a "gap" where the deep, intended meaning used to be.
Summary
In poetry, the effect on the reader is more important than the literal accuracy of the words. To succeed, a translator often has to "betray" the literal text to stay faithful to the poem's emotion.</t>
  </si>
  <si>
    <t>A joke translated in a legal style fails pragmatically because it violates the "rules" of social interaction and the specific mechanisms that make humor work.
In linguistics, pragmatics is the study of how context contributes to meaning. When you apply a legal "veneer" to a joke, you create a massive disconnect between the form of the message and its function.
1. Violation of the "Cooperative Principle"
The philosopher H.P. Grice argued that for communication to work, people follow the Maxim of Manner (be clear and concise).
Legal Style: Purposefully dense, repetitive, and exhaustive to eliminate ambiguity.
Humor: Relies on brevity and what is left unsaid.
The Failure: By being overly specific (e.g., defining "the chicken" as "the feathered bipedal party of the first part"), you bury the punchline under a mountain of unnecessary data.
2. Destruction of Timing (Economy of Language)
Humor requires a specific "tempo." A joke is a mental shortcut that leads to a sudden revelation.
The Problem: Legal writing uses "boilerplate" and "qualifiers" (e.g., “notwithstanding any prior oral agreements”). This creates friction. By the time the listener reaches the punchline, the cognitive momentum is dead.
3. Removal of Ambiguity and Incongruity
Most jokes work because of incongruity—a word or situation that has two meanings. The punchline forces the listener to switch from the "obvious" meaning to a "hidden" one.
Legal Style: The primary goal of legal drafting is to eliminate multiple interpretations.
The Failure: If a legal translation successfully removes all ambiguity to be "accurate," it accidentally removes the very double-entendre that makes the joke funny.</t>
  </si>
  <si>
    <t>When a chatbot uses the phrase "Yo, diagnosis looks bad" in a clinical context, it triggers a catastrophic failure in register, ethics, and pragmatics.
In linguistics, a register is the variety of language used for a particular purpose or social setting. Medical communication requires a formal, empathetic, and precise register; "Yo" belongs to a highly informal, casual register.
1. The Violation of "Aptness"
In communication theory, "aptness" refers to whether the tone fits the gravity of the situation.
The Problem: The casual slang "Yo" creates tonal dissonance. It suggests a lack of seriousness or respect for the patient's life-altering news.
The Result: The patient may feel the chatbot (and by extension, the hospital) is flippant or indifferent to their suffering.
2. Semantic Vagueness
Medical communication must be unambiguous.
The Problem: The phrase "looks bad" is a "fuzzy" predicate. It provides no clinical value. Does "bad" mean a chronic condition, a terminal illness, or a lab error?
The Result: Vagueness in a high-stakes environment causes unnecessary psychological distress. Precision acts as a "buffer" that helps patients process difficult news.
3. Destruction of Trust (Ethos)
Aristotle’s concept of Ethos refers to the speaker's credibility.
The Problem: We trust medical professionals because they adhere to a "Professional Persona." When a bot speaks like a teenager on a playground, its authority evaporates.
The Result: The patient is likely to reject the diagnosis entirely, not because the data is wrong, but because the delivery lacks the markers of expertise.
4. Pragmatic Failure: The "Face" Threat
In Politeness Theory, we all have a "face"—our public self-image.
Positive Face: The desire to be liked and respected.
The Problem: Delivering bad news with "Yo" is a Face-Threatening Act (FTA). It treats the listener as an inferior or a "buddy" rather than a person in need of professional care. It strips the patient of their dignity at their most vulnerable moment.</t>
  </si>
  <si>
    <t>To rewrite this for a professor, you must shift from an informal, "text-speak" register to a formal academic register that acknowledges the professor's time and professional authority.
Option 1: Formal and Deferential
"Dear Professor [Name], would you be available to provide feedback on my thesis draft at your earliest convenience?"
Option 2: Precise and Professional (Recommended)
"Dear Professor [Name], I have completed a draft of my thesis. If your schedule permits, I would greatly appreciate your professional insights on the current manuscript."
Key Linguistic Shifts
The original sentence fails in a professional setting because of its pragmatic assumptions. Here is why the rewrite is necessary:
Replacing "Can u": In a formal setting, "Can u" is seen as a sign of low effort. Using "Would you be available" or "I would appreciate" frames the request as a polite inquiry rather than a casual demand.
Eliminating "Real quick": This phrase is a diminutive. It suggests the work is trivial or that the professor's time is of little value. Professors view a thesis as a significant academic undertaking; suggesting it can be checked "quickly" undermines the importance of their expertise.
Defining the Action: "Check" is vague. Using words like "provide feedback," "review," or "insights" clarifies the academic nature of the task.
The Importance of "Face-Saving"
In linguistics, this rewrite uses Negative Politeness. By adding phrases like "If your schedule permits," you are acknowledging the professor's autonomy and their right to be busy. This reduces the "burden" of the request, making them more likely to agree to help you.</t>
  </si>
  <si>
    <t>The sentence "Your paper is bad" is a textbook example of a pragmatic failure. While it may be semantically "true" from the perspective of the grader, it fails as a piece of communication because it ignores the social and functional rules of feedback.
Here is an analysis of why this statement is pragmatically inappropriate:
1. Violation of the Maxim of Quantity
According to Paul Grice’s Cooperative Principle, effective communication follows the Maxim of Quantity: be as informative as is required.
The Failure: "Bad" is a non-specific descriptor. It doesn't clarify why the paper failed. Is the grammar poor? Is the logic flawed? Is the formatting incorrect?
The Result: The feedback provides no "actionable intelligence." The student cannot improve because they don't know which specific behaviors to change.
2. Threat to "Positive Face"
In Politeness Theory (Brown and Levinson), everyone has a "Positive Face"—the desire to be perceived as competent and respected.
The Failure: "Your paper is bad" is a Direct Face-Threatening Act (FTA). It attacks the individual's competence directly without any "redressive action" (softening language).
The Result: This triggers defensiveness or shame rather than a desire to learn. Once a student's "face" is threatened, their cognitive ability to process constructive criticism drops significantly.
3. Register Incompatibility
Feedback is a professional transaction within an educational register.
The Failure: "Bad" is a blunt, low-register word better suited for casual conversation (e.g., "This milk is bad"). In an academic or professional setting, the expected register demands evaluative language (e.g., "unsubstantiated," "incoherent," or "underdeveloped").
The Result: The speaker loses Ethos (credibility). The listener may perceive the speaker as lazy or unprofessional for not using precise terminology.
4. The "Locutionary" vs. "Illocutionary" Gap
In Speech Act Theory, we distinguish between what is said and what is intended.
Locutionary (The words): "Your paper is bad."
Illocutionary (The intent): "I want you to write a better paper next time."
The Failure: The words used actually undermine the intent. By being overly blunt, the speaker makes it less likely that the student will write a better paper, as the student may give up or feel alienated from the subject matter.</t>
  </si>
  <si>
    <t>Tone is the "emotional resonance" of a message, and in the context of Large Language Models (LLMs), it acts as the bridge between raw data and human utility. While the content of a response provides the "what," the tone provides the "how," determining whether the information is actually usable, trustworthy, or safe.
Here is why tone is a critical metric for evaluating AI:
1. Contextual Alignment (Register)
Communication happens in specific social "registers." An LLM must detect the implied context of a prompt to choose the appropriate tone.
The Failure: If a user asks for a eulogy and the LLM provides a witty, upbeat response, the content might be grammatically perfect, but the pragmatic failure makes the output useless.
The Goal: Matching the tone to the user’s situation (e.g., professional for work, empathetic for support, playful for creative writing).
2. Trust and Authority (Ethos)
In rhetoric, Ethos is the appeal to credibility. Tone is the primary way an LLM establishes this.
Confident vs. Cautious: If an LLM is 100% confident about a medical or legal fact that is actually an "hallucination," the assertive tone becomes a safety risk.
The Goal: A well-calibrated LLM should use a hedged tone (e.g., "It appears that..." or "Based on available data...") when dealing with uncertain or high-stakes information to manage user expectations and safety.
3. Cognitive Load and Receptivity
The way information is delivered affects how well the human brain processes it.
The "Lecture" Problem: A condescending or overly rigid tone can trigger a "defensive" psychological response in the user, making them less likely to accept even accurate information.
The "Peer" Advantage: A collaborative, helpful tone reduces the power dynamic between "all-knowing machine" and "user," facilitating a better brainstorming or learning environment.
4. Brand and Persona Consistency
For companies deploying AI, the LLM is often the "face" of the brand.
Brand Voice: A financial bot must sound secure and sober, while a gaming bot should sound energetic and informal.
The Failure: "Tone drift"—where a bot suddenly becomes sarcastic or robotic—breaks the user’s immersion and erodes brand loyalty.</t>
  </si>
  <si>
    <t>The Meaning of 'Spill the Beans'
The idiom "spill the beans" means to reveal a secret or disclose information prematurely, especially information that was intended to be kept private. It implies that a secret has been "let out" of its container, making it impossible to gather back up.
Why Literal Translation Fails
Translating this phrase word-for-word into another language (e.g., "derramar los frijoles" in Spanish or "verser les haricots" in French) usually results in a complete failure of communication for several reasons:
1. Loss of Idiomatic Mapping
An idiom is a phrase where the meaning cannot be deduced from the individual words.
The Problem: In most cultures, beans are simply food. There is no logical or cultural link between legumes and "information."
The Result: A listener in another language will visualize a messy kitchen accident rather than a social indiscretion.
2. Visual Confusion vs. Abstract Concept
Idioms rely on mental imagery that is culturally specific.
Literal Interpretation: Focuses on the physical act of cleaning up a mess.
Metaphorical Interpretation: Focuses on the social consequence of a broken trust.
When the literal image doesn't exist as a metaphor in the target language, the listener is left looking for a physical mess that isn't there.
3. Cultural Specificity (The "Origins" Problem)
Many idioms are rooted in specific historical or cultural practices that don't translate.
Example: One popular theory for "spill the beans" involves ancient Greek voting, where white beans meant "yes" and black beans meant "no." If the jar was knocked over (spilled), the secret results of the vote were revealed too early.
The Failure: If a culture didn't use beans for voting, the metaphor has no "anchor" in their history.
4. The "Semantic Void"
Most languages have their own unique way to express the same idea.
In German: One might "let the cat out of the sack" (die Katze aus dem Sack lassen).
In Japanese: One might "expose the true colors" (shippo o dasu—literally "to show the tail").
If you translate "beans" literally, you miss the opportunity to use the functional equivalent that the listener would actually understand.</t>
  </si>
  <si>
    <t>Model Gemini</t>
  </si>
  <si>
    <t>The model fails to correctly interpret the sentence meaning because it does not recognize “bank” as a homonymous lexical item, leading to lexical ambiguity and an incorrect sense selection.</t>
  </si>
  <si>
    <t>The model fails to correctly interpret the sentence due to its inability to resolve the structural ambiguity embedded in the construction.</t>
  </si>
  <si>
    <t>The model fails to correctly interpret the semantic scope of “everyone”, resulting in an inaccurate representation of the sentence meaning.</t>
  </si>
  <si>
    <t>Although the model produces the correct answer, it fails to provide a linguistic or semantic explanation supporting its interpretation.</t>
  </si>
  <si>
    <t>The model fails to recognize the polysemous nature of the lexical item, merely substituting the verb with different lexical alternatives without demonstrating any awareness of the emphasised semantic ambiguity.</t>
  </si>
  <si>
    <t>Although the model provides a partially accurate response, it lacks sufficient explanatory depth and fails to explicitly clarify the underlying linguistic issue.</t>
  </si>
  <si>
    <t>The model is capable of distinguishing between polite and informal registers but unable to explain the aim of utilising politeness.</t>
  </si>
  <si>
    <t>The model provides an incomplete linguistic explanation.</t>
  </si>
  <si>
    <t>The model produces a contradictory and confusing response, initially recognizing the ironic meaning but subsequently failing to maintain this interpretation throughout the remainder of its response.</t>
  </si>
  <si>
    <t>Although the model produces the correct interpretation, it fails to provide an adequate linguistic explanation supporting its response.</t>
  </si>
  <si>
    <t>The model fails to identify the implicature.</t>
  </si>
  <si>
    <t>The model provides an appropriate interpretation; however, its response lacks sufficient explanatory detail.</t>
  </si>
  <si>
    <t>The model successfully identifies the metaphorical meaning, yet it fails to provide a clear and sufficiently detailed explanation of the underlying metaphorical mapping.</t>
  </si>
  <si>
    <t>The model successfully identifies the metaphorical meaning, yet it fails to provide a clear and sufficiently detailed explanation of the personification.</t>
  </si>
  <si>
    <t>The model correctly recognizes that “Hollywood” functions metonymically as a reference to the film industry, yet it fails to explain the linguistic mechanism underlying this usage and instead focuses on industrial or socio-economic factors.</t>
  </si>
  <si>
    <t>The model successfully identifies the metaphorical expression but fails to explain the underlying conceptualisation and the cognitive mapping through which the metaphor operates.</t>
  </si>
  <si>
    <t>The tone of the model’s response could have been more academic</t>
  </si>
  <si>
    <t>The model responds accurately; however, it fails to provide a sufficiently comprehensive linguistic explanation.</t>
  </si>
  <si>
    <t>The model fails to correctly interpret the prompt, resulting in a response that does not adequately address the intended linguistic task.</t>
  </si>
  <si>
    <t>The model produces a response that lacks a fully formal register.</t>
  </si>
  <si>
    <t>The model fails to provide a pragmatic explanation addressing concepts</t>
  </si>
  <si>
    <t>The model provides an appropriate response; however, it fails to offer a detailed linguistic explanation supporting its interpretation.</t>
  </si>
  <si>
    <t>The model produces a generally correct response; however, it still partially considers the absurd interpretation.</t>
  </si>
  <si>
    <t>The model successfully rewrites the sentence; however, it introduces additional semantic content by implying that the individual required immediate help which was not explicitly present in the source sentence.</t>
  </si>
  <si>
    <t xml:space="preserve"> </t>
  </si>
  <si>
    <t>This project comparatively evaluates the semantic and pragmatic competence of the LLMs Minerva and Gemini with regard to semantic ambiguity, pragmatic inference, figurative meaning and register-sensitive language. The main aim is to test Minerva’s English-language competence, given that its primary functional language is Italian. The project aims to identify and analyse semantic and pragmatic failures or limitations of Minerva in order to contribute to its improvement in the English context.</t>
  </si>
  <si>
    <t>A dataset of 40 English prompts was created under four categories as semantic ambiguity, pragmatics, metaphor/figurative meaning and register/style. Each prompt includes an expected strong answer and a success criterion. Model outputs are evaluated and scored manually using a 0–2 rubric.</t>
  </si>
  <si>
    <t>0 means incorrect or missing; 1 means partially correct; 2 means fully correct. The score is assigned based on whether the model identifies the relevant linguistic phenomenon and explains it accurately in context.</t>
  </si>
  <si>
    <t>After scoring, average performance of the LLMs is compared across the four categories. The most significant results relate to identifying which model scores highest and which categories produce the most errors. For example, a model may perform well on literal semantic ambiguity but struggle with pragmatic implicature.</t>
  </si>
  <si>
    <t>This project may demonstrate that Minerva often produces fluent responses in English while still struggling to recognize specific layers of meaning and provide sufficiently informative linguistic explanations.</t>
  </si>
  <si>
    <t>Observation</t>
  </si>
  <si>
    <t>General Findings</t>
  </si>
  <si>
    <t>Model Minerva Average</t>
  </si>
  <si>
    <t>Model Gemini Average</t>
  </si>
  <si>
    <t>When compared to Gemini, to what extent does Minerva correctly interpret meaning beyond literal sentence form in English, especially in cases involving ambiguity, implicature, metaphor and register adaptation?</t>
  </si>
  <si>
    <t>Expected conclusion</t>
  </si>
  <si>
    <t>Dataset</t>
  </si>
  <si>
    <t>Limitations</t>
  </si>
  <si>
    <t>The dataset includes semantic ambiguity, pragmatics, metaphor/figurative meaning and register/style prompts in English.</t>
  </si>
  <si>
    <t>Minerva consistently underperformed when compared to Gemini across all categories, particularly in tasks where the meaning is implicit.</t>
  </si>
  <si>
    <t>The most significant performance gap appeared in semantic ambiguity tasks. Minerva frequently failed to interpret ambiguous sentences whereas Gemini often recognised multiple interpretations and provided linguistic explanations successfully.</t>
  </si>
  <si>
    <t xml:space="preserve">The weakest categories for Minerva were semantic ambiguity and pragmatics. The model constantly had challenges in terms of polysemy, indirect meaning, implicature and context-dependent interpretation, particularly when the intended meaning was implied rathen than explicitly stated. </t>
  </si>
  <si>
    <t>Gemini demonstrated stronger pragmatic competence by correctly identifying speaker intention, indirect requests and implicated meaning in nearly all prompts.</t>
  </si>
  <si>
    <t>Although Minerva was capable of producing fluent English responses, fluency did not necessarily correspond to accurate semantic or pragmatic interpretation. In several cases, the responses appeared grammatically correct while still failing to capture the intended meaning of the prompt.</t>
  </si>
  <si>
    <t>In metaphor and figurative language tasks, Minerva generally recognised the presence of non-literal meaning but often reduced metaphorical expressions to simplified paraphrases without fully explaining their conceptual or symbolic implications.</t>
  </si>
  <si>
    <t>Gemini produced more semantically and contextually detailed interpretations of figurative language, demonstrating stronger abstraction and contextual reasoning abilities.</t>
  </si>
  <si>
    <t>When compared to Minerva, Gemini adapted tone, vocabulary and sentence complexity more naturally and consistently according to communicative context, indicating a stronger stylistic flexibility.</t>
  </si>
  <si>
    <t>According to the findings, Minerva's English language competence remains at the surface grammatical level, struggling to handle semantic and pragmatic interpretation.</t>
  </si>
  <si>
    <t>The results further indicate that semantic ambiguity and pragmatics represent the most problematic linguistic areas for Minerva in English while metaphor and register adaptation appear comparatively less challenging.</t>
  </si>
  <si>
    <t>The project demonstrates that bilingual or multilingual LLMs may generate fluent English outputs while still exhibiting substantial limitations in contextual interpretation, pragmatic reasoning and semantic disambiguation.</t>
  </si>
  <si>
    <t>Gemini handled multiple interpretations significantly more effectively, whereas Minerva frequently struggled to recognise alternative semantic readings within ambiguous sentences.</t>
  </si>
  <si>
    <t>Both models recognised figurative meaning but Gemini provided deeper abstraction, achieving a complete score in this category.</t>
  </si>
  <si>
    <t>Minerva struggled with indirect meaning and implicature while Gemini captured all indirect meanings and implicatures, achieving a complete score in this category.</t>
  </si>
  <si>
    <t>Gemini adapted tone, vocabulary and audience awareness more naturally and consistently when compared to Minerva.</t>
  </si>
  <si>
    <t>Prompt-based Comparative Evaluation of the Semantic and Pragmatic Competence of Minerva and Gemini</t>
  </si>
  <si>
    <t>The answer identifies part of the issue but misses an important interpretation, gives a vague or incomplete linguistic explanation or lacks linguistic precision.</t>
  </si>
  <si>
    <t>The project utilises a relatively small dataset. The scoring is manual which might cause subjectivity. No automatic evaluation metrics are used. Model outputs may vary across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</si>
</sst>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b/>
      <sz val="16"/>
      <color rgb="FFFFFFFF"/>
      <name val="Carlito"/>
    </font>
    <font>
      <b/>
      <sz val="11"/>
      <name val="Carlito"/>
    </font>
    <font>
      <b/>
      <sz val="11"/>
      <color theme="0"/>
      <name val="Carlito"/>
    </font>
  </fonts>
  <fills count="4">
    <fill>
      <patternFill patternType="none"/>
    </fill>
    <fill>
      <patternFill patternType="gray125"/>
    </fill>
    <fill>
      <patternFill patternType="solid">
        <fgColor rgb="FF1F4E78"/>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2" fillId="2" borderId="0" xfId="0" applyFont="1" applyFill="1" applyAlignment="1">
      <alignment horizontal="center" vertical="center" wrapText="1"/>
    </xf>
    <xf numFmtId="2" fontId="0" fillId="0" borderId="0" xfId="0" applyNumberFormat="1" applyAlignment="1">
      <alignment wrapText="1"/>
    </xf>
    <xf numFmtId="9" fontId="0" fillId="0" borderId="0" xfId="0" applyNumberFormat="1" applyAlignment="1">
      <alignment wrapText="1"/>
    </xf>
    <xf numFmtId="0" fontId="0" fillId="0" borderId="0" xfId="0" quotePrefix="1" applyAlignment="1">
      <alignment wrapText="1"/>
    </xf>
    <xf numFmtId="0" fontId="1" fillId="0" borderId="0" xfId="0" applyFont="1" applyAlignment="1">
      <alignment horizontal="center" vertical="center"/>
    </xf>
    <xf numFmtId="0" fontId="3" fillId="0" borderId="0" xfId="0" applyFont="1" applyAlignment="1">
      <alignment wrapText="1"/>
    </xf>
    <xf numFmtId="0" fontId="3" fillId="0" borderId="0" xfId="0" applyFont="1"/>
    <xf numFmtId="0" fontId="1" fillId="0" borderId="0" xfId="0" applyFont="1"/>
    <xf numFmtId="0" fontId="4" fillId="3" borderId="0" xfId="0" applyFont="1" applyFill="1" applyAlignment="1">
      <alignment wrapText="1"/>
    </xf>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mptsTable" displayName="PromptsTable" ref="A1:G41">
  <tableColumns count="7">
    <tableColumn id="1" xr3:uid="{00000000-0010-0000-0000-000001000000}" name="Prompt_ID"/>
    <tableColumn id="2" xr3:uid="{00000000-0010-0000-0000-000002000000}" name="Main_Category"/>
    <tableColumn id="3" xr3:uid="{00000000-0010-0000-0000-000003000000}" name="Linguistic_Phenomenon"/>
    <tableColumn id="4" xr3:uid="{00000000-0010-0000-0000-000004000000}" name="Concept"/>
    <tableColumn id="5" xr3:uid="{00000000-0010-0000-0000-000005000000}" name="Prompt"/>
    <tableColumn id="6" xr3:uid="{00000000-0010-0000-0000-000006000000}" name="Expected_Strong_Answer"/>
    <tableColumn id="7" xr3:uid="{00000000-0010-0000-0000-000007000000}" name="Success_Criter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valuationTable" displayName="EvaluationTable" ref="A1:K41">
  <tableColumns count="11">
    <tableColumn id="1" xr3:uid="{00000000-0010-0000-0100-000001000000}" name="Prompt_ID"/>
    <tableColumn id="2" xr3:uid="{00000000-0010-0000-0100-000002000000}" name="Main_Category"/>
    <tableColumn id="3" xr3:uid="{00000000-0010-0000-0100-000003000000}" name="Linguistic_Phenomenon"/>
    <tableColumn id="4" xr3:uid="{00000000-0010-0000-0100-000004000000}" name="Prompt"/>
    <tableColumn id="5" xr3:uid="{00000000-0010-0000-0100-000005000000}" name="Expected_Strong_Answer"/>
    <tableColumn id="6" xr3:uid="{00000000-0010-0000-0100-000006000000}" name="Minerva_Response"/>
    <tableColumn id="7" xr3:uid="{00000000-0010-0000-0100-000007000000}" name="Score_Minerva_0_2"/>
    <tableColumn id="8" xr3:uid="{00000000-0010-0000-0100-000008000000}" name="Notes_Minerva"/>
    <tableColumn id="9" xr3:uid="{00000000-0010-0000-0100-000009000000}" name="Gemini_Response"/>
    <tableColumn id="10" xr3:uid="{00000000-0010-0000-0100-00000A000000}" name="Score_Gemini_0_2"/>
    <tableColumn id="11" xr3:uid="{00000000-0010-0000-0100-00000B000000}" name="Notes_Gemini"/>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6"/>
  <sheetViews>
    <sheetView tabSelected="1" workbookViewId="0">
      <selection activeCell="B9" sqref="B9"/>
    </sheetView>
  </sheetViews>
  <sheetFormatPr defaultRowHeight="14"/>
  <cols>
    <col min="1" max="1" width="24" customWidth="1"/>
    <col min="2" max="2" width="110" customWidth="1"/>
  </cols>
  <sheetData>
    <row r="1" spans="1:26">
      <c r="A1" s="1" t="s">
        <v>287</v>
      </c>
      <c r="B1" s="1" t="s">
        <v>258</v>
      </c>
      <c r="C1" s="1"/>
      <c r="D1" s="1"/>
      <c r="E1" s="1"/>
      <c r="F1" s="1"/>
      <c r="G1" s="1"/>
      <c r="H1" s="1"/>
      <c r="I1" s="1"/>
      <c r="J1" s="1"/>
      <c r="K1" s="1"/>
      <c r="L1" s="1"/>
      <c r="M1" s="1"/>
      <c r="N1" s="1"/>
      <c r="O1" s="1"/>
      <c r="P1" s="1"/>
      <c r="Q1" s="1"/>
      <c r="R1" s="1"/>
      <c r="S1" s="1"/>
      <c r="T1" s="1"/>
      <c r="U1" s="1"/>
      <c r="V1" s="1"/>
      <c r="W1" s="1"/>
      <c r="X1" s="1"/>
      <c r="Y1" s="1"/>
      <c r="Z1" s="1"/>
    </row>
    <row r="2" spans="1:26">
      <c r="A2" s="8" t="s">
        <v>288</v>
      </c>
      <c r="B2" s="2" t="s">
        <v>439</v>
      </c>
    </row>
    <row r="3" spans="1:26" ht="56">
      <c r="A3" s="8" t="s">
        <v>289</v>
      </c>
      <c r="B3" s="2" t="s">
        <v>410</v>
      </c>
    </row>
    <row r="4" spans="1:26" ht="28">
      <c r="A4" s="8" t="s">
        <v>290</v>
      </c>
      <c r="B4" s="2" t="s">
        <v>419</v>
      </c>
    </row>
    <row r="5" spans="1:26">
      <c r="A5" s="8" t="s">
        <v>421</v>
      </c>
      <c r="B5" s="2" t="s">
        <v>423</v>
      </c>
    </row>
    <row r="6" spans="1:26" ht="42">
      <c r="A6" s="8" t="s">
        <v>291</v>
      </c>
      <c r="B6" s="2" t="s">
        <v>411</v>
      </c>
    </row>
    <row r="7" spans="1:26" ht="28">
      <c r="A7" s="8" t="s">
        <v>292</v>
      </c>
      <c r="B7" s="2" t="s">
        <v>412</v>
      </c>
    </row>
    <row r="8" spans="1:26" ht="42">
      <c r="A8" s="8" t="s">
        <v>293</v>
      </c>
      <c r="B8" s="2" t="s">
        <v>413</v>
      </c>
    </row>
    <row r="9" spans="1:26" ht="28">
      <c r="A9" s="8" t="s">
        <v>422</v>
      </c>
      <c r="B9" s="2" t="s">
        <v>441</v>
      </c>
    </row>
    <row r="10" spans="1:26" ht="28">
      <c r="A10" s="8" t="s">
        <v>420</v>
      </c>
      <c r="B10" s="2" t="s">
        <v>414</v>
      </c>
    </row>
    <row r="19" spans="1:1">
      <c r="A19" s="9" t="s">
        <v>409</v>
      </c>
    </row>
    <row r="20" spans="1:1">
      <c r="A20" t="s">
        <v>409</v>
      </c>
    </row>
    <row r="21" spans="1:1">
      <c r="A21" s="9" t="s">
        <v>409</v>
      </c>
    </row>
    <row r="22" spans="1:1">
      <c r="A22" t="s">
        <v>409</v>
      </c>
    </row>
    <row r="23" spans="1:1">
      <c r="A23" s="9" t="s">
        <v>409</v>
      </c>
    </row>
    <row r="24" spans="1:1">
      <c r="A24" t="s">
        <v>409</v>
      </c>
    </row>
    <row r="25" spans="1:1">
      <c r="A25" s="9" t="s">
        <v>409</v>
      </c>
    </row>
    <row r="26" spans="1:1">
      <c r="A26" t="s">
        <v>409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41"/>
  <sheetViews>
    <sheetView workbookViewId="0">
      <selection activeCell="B5" sqref="B5"/>
    </sheetView>
  </sheetViews>
  <sheetFormatPr defaultRowHeight="14"/>
  <cols>
    <col min="1" max="1" width="12" customWidth="1"/>
    <col min="2" max="3" width="24" customWidth="1"/>
    <col min="4" max="4" width="32" customWidth="1"/>
    <col min="5" max="5" width="55" customWidth="1"/>
    <col min="6" max="6" width="65" customWidth="1"/>
    <col min="7" max="7" width="28" customWidth="1"/>
  </cols>
  <sheetData>
    <row r="1" spans="1:26">
      <c r="A1" s="1" t="s">
        <v>0</v>
      </c>
      <c r="B1" s="1" t="s">
        <v>1</v>
      </c>
      <c r="C1" s="1" t="s">
        <v>2</v>
      </c>
      <c r="D1" s="1" t="s">
        <v>3</v>
      </c>
      <c r="E1" s="1" t="s">
        <v>4</v>
      </c>
      <c r="F1" s="1" t="s">
        <v>5</v>
      </c>
      <c r="G1" s="1" t="s">
        <v>6</v>
      </c>
      <c r="H1" s="1"/>
      <c r="I1" s="1"/>
      <c r="J1" s="1"/>
      <c r="K1" s="1"/>
      <c r="L1" s="1"/>
      <c r="M1" s="1"/>
      <c r="N1" s="1"/>
      <c r="O1" s="1"/>
      <c r="P1" s="1"/>
      <c r="Q1" s="1"/>
      <c r="R1" s="1"/>
      <c r="S1" s="1"/>
      <c r="T1" s="1"/>
      <c r="U1" s="1"/>
      <c r="V1" s="1"/>
      <c r="W1" s="1"/>
      <c r="X1" s="1"/>
      <c r="Y1" s="1"/>
      <c r="Z1" s="1"/>
    </row>
    <row r="2" spans="1:26" ht="28">
      <c r="A2" s="2" t="s">
        <v>7</v>
      </c>
      <c r="B2" s="2" t="s">
        <v>8</v>
      </c>
      <c r="C2" s="2" t="s">
        <v>9</v>
      </c>
      <c r="D2" s="2" t="s">
        <v>10</v>
      </c>
      <c r="E2" s="2" t="s">
        <v>11</v>
      </c>
      <c r="F2" s="2" t="s">
        <v>12</v>
      </c>
      <c r="G2" s="2" t="s">
        <v>13</v>
      </c>
    </row>
    <row r="3" spans="1:26" ht="28">
      <c r="A3" s="2" t="s">
        <v>14</v>
      </c>
      <c r="B3" s="2" t="s">
        <v>8</v>
      </c>
      <c r="C3" s="2" t="s">
        <v>15</v>
      </c>
      <c r="D3" s="2" t="s">
        <v>16</v>
      </c>
      <c r="E3" s="2" t="s">
        <v>17</v>
      </c>
      <c r="F3" s="2" t="s">
        <v>18</v>
      </c>
      <c r="G3" s="2" t="s">
        <v>19</v>
      </c>
    </row>
    <row r="4" spans="1:26" ht="28">
      <c r="A4" s="2" t="s">
        <v>20</v>
      </c>
      <c r="B4" s="2" t="s">
        <v>8</v>
      </c>
      <c r="C4" s="2" t="s">
        <v>21</v>
      </c>
      <c r="D4" s="2" t="s">
        <v>22</v>
      </c>
      <c r="E4" s="2" t="s">
        <v>23</v>
      </c>
      <c r="F4" s="2" t="s">
        <v>24</v>
      </c>
      <c r="G4" s="2" t="s">
        <v>25</v>
      </c>
    </row>
    <row r="5" spans="1:26" ht="28">
      <c r="A5" s="2" t="s">
        <v>26</v>
      </c>
      <c r="B5" s="2" t="s">
        <v>8</v>
      </c>
      <c r="C5" s="2" t="s">
        <v>27</v>
      </c>
      <c r="D5" s="2" t="s">
        <v>28</v>
      </c>
      <c r="E5" s="2" t="s">
        <v>29</v>
      </c>
      <c r="F5" s="2" t="s">
        <v>30</v>
      </c>
      <c r="G5" s="2" t="s">
        <v>31</v>
      </c>
    </row>
    <row r="6" spans="1:26" ht="28">
      <c r="A6" s="2" t="s">
        <v>32</v>
      </c>
      <c r="B6" s="2" t="s">
        <v>8</v>
      </c>
      <c r="C6" s="2" t="s">
        <v>33</v>
      </c>
      <c r="D6" s="2" t="s">
        <v>34</v>
      </c>
      <c r="E6" s="2" t="s">
        <v>35</v>
      </c>
      <c r="F6" s="2" t="s">
        <v>36</v>
      </c>
      <c r="G6" s="2" t="s">
        <v>37</v>
      </c>
    </row>
    <row r="7" spans="1:26" ht="28">
      <c r="A7" s="2" t="s">
        <v>38</v>
      </c>
      <c r="B7" s="2" t="s">
        <v>8</v>
      </c>
      <c r="C7" s="2" t="s">
        <v>39</v>
      </c>
      <c r="D7" s="2" t="s">
        <v>40</v>
      </c>
      <c r="E7" s="2" t="s">
        <v>41</v>
      </c>
      <c r="F7" s="2" t="s">
        <v>42</v>
      </c>
      <c r="G7" s="2" t="s">
        <v>43</v>
      </c>
    </row>
    <row r="8" spans="1:26" ht="28">
      <c r="A8" s="2" t="s">
        <v>44</v>
      </c>
      <c r="B8" s="2" t="s">
        <v>8</v>
      </c>
      <c r="C8" s="2" t="s">
        <v>45</v>
      </c>
      <c r="D8" s="2" t="s">
        <v>46</v>
      </c>
      <c r="E8" s="2" t="s">
        <v>47</v>
      </c>
      <c r="F8" s="2" t="s">
        <v>48</v>
      </c>
      <c r="G8" s="2" t="s">
        <v>49</v>
      </c>
    </row>
    <row r="9" spans="1:26" ht="28">
      <c r="A9" s="2" t="s">
        <v>50</v>
      </c>
      <c r="B9" s="2" t="s">
        <v>8</v>
      </c>
      <c r="C9" s="2" t="s">
        <v>51</v>
      </c>
      <c r="D9" s="2" t="s">
        <v>52</v>
      </c>
      <c r="E9" s="2" t="s">
        <v>53</v>
      </c>
      <c r="F9" s="2" t="s">
        <v>54</v>
      </c>
      <c r="G9" s="2" t="s">
        <v>55</v>
      </c>
    </row>
    <row r="10" spans="1:26" ht="28">
      <c r="A10" s="2" t="s">
        <v>56</v>
      </c>
      <c r="B10" s="2" t="s">
        <v>8</v>
      </c>
      <c r="C10" s="2" t="s">
        <v>57</v>
      </c>
      <c r="D10" s="2" t="s">
        <v>58</v>
      </c>
      <c r="E10" s="2" t="s">
        <v>59</v>
      </c>
      <c r="F10" s="2" t="s">
        <v>60</v>
      </c>
      <c r="G10" s="2" t="s">
        <v>61</v>
      </c>
    </row>
    <row r="11" spans="1:26" ht="28">
      <c r="A11" s="2" t="s">
        <v>62</v>
      </c>
      <c r="B11" s="2" t="s">
        <v>8</v>
      </c>
      <c r="C11" s="2" t="s">
        <v>63</v>
      </c>
      <c r="D11" s="2" t="s">
        <v>64</v>
      </c>
      <c r="E11" s="2" t="s">
        <v>65</v>
      </c>
      <c r="F11" s="2" t="s">
        <v>66</v>
      </c>
      <c r="G11" s="2" t="s">
        <v>67</v>
      </c>
    </row>
    <row r="12" spans="1:26" ht="28">
      <c r="A12" s="2" t="s">
        <v>68</v>
      </c>
      <c r="B12" s="2" t="s">
        <v>69</v>
      </c>
      <c r="C12" s="2" t="s">
        <v>70</v>
      </c>
      <c r="D12" s="2" t="s">
        <v>71</v>
      </c>
      <c r="E12" s="2" t="s">
        <v>72</v>
      </c>
      <c r="F12" s="2" t="s">
        <v>73</v>
      </c>
      <c r="G12" s="2" t="s">
        <v>74</v>
      </c>
    </row>
    <row r="13" spans="1:26" ht="28">
      <c r="A13" s="2" t="s">
        <v>75</v>
      </c>
      <c r="B13" s="2" t="s">
        <v>69</v>
      </c>
      <c r="C13" s="2" t="s">
        <v>76</v>
      </c>
      <c r="D13" s="2" t="s">
        <v>77</v>
      </c>
      <c r="E13" s="2" t="s">
        <v>78</v>
      </c>
      <c r="F13" s="2" t="s">
        <v>79</v>
      </c>
      <c r="G13" s="2" t="s">
        <v>80</v>
      </c>
    </row>
    <row r="14" spans="1:26" ht="28">
      <c r="A14" s="2" t="s">
        <v>81</v>
      </c>
      <c r="B14" s="2" t="s">
        <v>69</v>
      </c>
      <c r="C14" s="2" t="s">
        <v>82</v>
      </c>
      <c r="D14" s="2" t="s">
        <v>83</v>
      </c>
      <c r="E14" s="2" t="s">
        <v>84</v>
      </c>
      <c r="F14" s="2" t="s">
        <v>85</v>
      </c>
      <c r="G14" s="2" t="s">
        <v>86</v>
      </c>
    </row>
    <row r="15" spans="1:26" ht="28">
      <c r="A15" s="2" t="s">
        <v>87</v>
      </c>
      <c r="B15" s="2" t="s">
        <v>69</v>
      </c>
      <c r="C15" s="2" t="s">
        <v>88</v>
      </c>
      <c r="D15" s="2" t="s">
        <v>89</v>
      </c>
      <c r="E15" s="2" t="s">
        <v>90</v>
      </c>
      <c r="F15" s="2" t="s">
        <v>91</v>
      </c>
      <c r="G15" s="2" t="s">
        <v>92</v>
      </c>
    </row>
    <row r="16" spans="1:26" ht="28">
      <c r="A16" s="2" t="s">
        <v>93</v>
      </c>
      <c r="B16" s="2" t="s">
        <v>69</v>
      </c>
      <c r="C16" s="2" t="s">
        <v>94</v>
      </c>
      <c r="D16" s="2" t="s">
        <v>95</v>
      </c>
      <c r="E16" s="2" t="s">
        <v>96</v>
      </c>
      <c r="F16" s="2" t="s">
        <v>97</v>
      </c>
      <c r="G16" s="2" t="s">
        <v>98</v>
      </c>
    </row>
    <row r="17" spans="1:7" ht="28">
      <c r="A17" s="2" t="s">
        <v>99</v>
      </c>
      <c r="B17" s="2" t="s">
        <v>69</v>
      </c>
      <c r="C17" s="2" t="s">
        <v>100</v>
      </c>
      <c r="D17" s="2" t="s">
        <v>101</v>
      </c>
      <c r="E17" s="2" t="s">
        <v>102</v>
      </c>
      <c r="F17" s="2" t="s">
        <v>103</v>
      </c>
      <c r="G17" s="2" t="s">
        <v>104</v>
      </c>
    </row>
    <row r="18" spans="1:7" ht="28">
      <c r="A18" s="2" t="s">
        <v>105</v>
      </c>
      <c r="B18" s="2" t="s">
        <v>69</v>
      </c>
      <c r="C18" s="2" t="s">
        <v>106</v>
      </c>
      <c r="D18" s="2" t="s">
        <v>107</v>
      </c>
      <c r="E18" s="2" t="s">
        <v>108</v>
      </c>
      <c r="F18" s="2" t="s">
        <v>109</v>
      </c>
      <c r="G18" s="2" t="s">
        <v>110</v>
      </c>
    </row>
    <row r="19" spans="1:7" ht="28">
      <c r="A19" s="2" t="s">
        <v>111</v>
      </c>
      <c r="B19" s="2" t="s">
        <v>69</v>
      </c>
      <c r="C19" s="2" t="s">
        <v>112</v>
      </c>
      <c r="D19" s="2" t="s">
        <v>113</v>
      </c>
      <c r="E19" s="2" t="s">
        <v>114</v>
      </c>
      <c r="F19" s="2" t="s">
        <v>115</v>
      </c>
      <c r="G19" s="2" t="s">
        <v>116</v>
      </c>
    </row>
    <row r="20" spans="1:7" ht="28">
      <c r="A20" s="2" t="s">
        <v>117</v>
      </c>
      <c r="B20" s="2" t="s">
        <v>69</v>
      </c>
      <c r="C20" s="2" t="s">
        <v>118</v>
      </c>
      <c r="D20" s="2" t="s">
        <v>119</v>
      </c>
      <c r="E20" s="2" t="s">
        <v>120</v>
      </c>
      <c r="F20" s="2" t="s">
        <v>121</v>
      </c>
      <c r="G20" s="2" t="s">
        <v>122</v>
      </c>
    </row>
    <row r="21" spans="1:7" ht="28">
      <c r="A21" s="2" t="s">
        <v>123</v>
      </c>
      <c r="B21" s="2" t="s">
        <v>69</v>
      </c>
      <c r="C21" s="2" t="s">
        <v>124</v>
      </c>
      <c r="D21" s="2" t="s">
        <v>125</v>
      </c>
      <c r="E21" s="2" t="s">
        <v>126</v>
      </c>
      <c r="F21" s="2" t="s">
        <v>127</v>
      </c>
      <c r="G21" s="2" t="s">
        <v>128</v>
      </c>
    </row>
    <row r="22" spans="1:7" ht="28">
      <c r="A22" s="2" t="s">
        <v>129</v>
      </c>
      <c r="B22" s="2" t="s">
        <v>130</v>
      </c>
      <c r="C22" s="2" t="s">
        <v>131</v>
      </c>
      <c r="D22" s="2" t="s">
        <v>132</v>
      </c>
      <c r="E22" s="2" t="s">
        <v>133</v>
      </c>
      <c r="F22" s="2" t="s">
        <v>134</v>
      </c>
      <c r="G22" s="2" t="s">
        <v>135</v>
      </c>
    </row>
    <row r="23" spans="1:7" ht="28">
      <c r="A23" s="2" t="s">
        <v>136</v>
      </c>
      <c r="B23" s="2" t="s">
        <v>130</v>
      </c>
      <c r="C23" s="2" t="s">
        <v>137</v>
      </c>
      <c r="D23" s="2" t="s">
        <v>138</v>
      </c>
      <c r="E23" s="2" t="s">
        <v>139</v>
      </c>
      <c r="F23" s="2" t="s">
        <v>140</v>
      </c>
      <c r="G23" s="2" t="s">
        <v>141</v>
      </c>
    </row>
    <row r="24" spans="1:7" ht="28">
      <c r="A24" s="2" t="s">
        <v>142</v>
      </c>
      <c r="B24" s="2" t="s">
        <v>130</v>
      </c>
      <c r="C24" s="2" t="s">
        <v>143</v>
      </c>
      <c r="D24" s="2" t="s">
        <v>144</v>
      </c>
      <c r="E24" s="2" t="s">
        <v>145</v>
      </c>
      <c r="F24" s="2" t="s">
        <v>146</v>
      </c>
      <c r="G24" s="2" t="s">
        <v>147</v>
      </c>
    </row>
    <row r="25" spans="1:7" ht="28">
      <c r="A25" s="2" t="s">
        <v>148</v>
      </c>
      <c r="B25" s="2" t="s">
        <v>130</v>
      </c>
      <c r="C25" s="2" t="s">
        <v>149</v>
      </c>
      <c r="D25" s="2" t="s">
        <v>150</v>
      </c>
      <c r="E25" s="2" t="s">
        <v>151</v>
      </c>
      <c r="F25" s="2" t="s">
        <v>152</v>
      </c>
      <c r="G25" s="2" t="s">
        <v>153</v>
      </c>
    </row>
    <row r="26" spans="1:7" ht="28">
      <c r="A26" s="2" t="s">
        <v>154</v>
      </c>
      <c r="B26" s="2" t="s">
        <v>130</v>
      </c>
      <c r="C26" s="2" t="s">
        <v>155</v>
      </c>
      <c r="D26" s="2" t="s">
        <v>156</v>
      </c>
      <c r="E26" s="2" t="s">
        <v>157</v>
      </c>
      <c r="F26" s="2" t="s">
        <v>158</v>
      </c>
      <c r="G26" s="2" t="s">
        <v>159</v>
      </c>
    </row>
    <row r="27" spans="1:7" ht="28">
      <c r="A27" s="2" t="s">
        <v>160</v>
      </c>
      <c r="B27" s="2" t="s">
        <v>130</v>
      </c>
      <c r="C27" s="2" t="s">
        <v>161</v>
      </c>
      <c r="D27" s="2" t="s">
        <v>162</v>
      </c>
      <c r="E27" s="2" t="s">
        <v>163</v>
      </c>
      <c r="F27" s="2" t="s">
        <v>164</v>
      </c>
      <c r="G27" s="2" t="s">
        <v>165</v>
      </c>
    </row>
    <row r="28" spans="1:7" ht="28">
      <c r="A28" s="2" t="s">
        <v>166</v>
      </c>
      <c r="B28" s="2" t="s">
        <v>130</v>
      </c>
      <c r="C28" s="2" t="s">
        <v>167</v>
      </c>
      <c r="D28" s="2" t="s">
        <v>168</v>
      </c>
      <c r="E28" s="2" t="s">
        <v>169</v>
      </c>
      <c r="F28" s="2" t="s">
        <v>170</v>
      </c>
      <c r="G28" s="2" t="s">
        <v>171</v>
      </c>
    </row>
    <row r="29" spans="1:7" ht="28">
      <c r="A29" s="2" t="s">
        <v>172</v>
      </c>
      <c r="B29" s="2" t="s">
        <v>130</v>
      </c>
      <c r="C29" s="2" t="s">
        <v>173</v>
      </c>
      <c r="D29" s="2" t="s">
        <v>174</v>
      </c>
      <c r="E29" s="2" t="s">
        <v>175</v>
      </c>
      <c r="F29" s="2" t="s">
        <v>176</v>
      </c>
      <c r="G29" s="2" t="s">
        <v>177</v>
      </c>
    </row>
    <row r="30" spans="1:7" ht="28">
      <c r="A30" s="2" t="s">
        <v>178</v>
      </c>
      <c r="B30" s="2" t="s">
        <v>130</v>
      </c>
      <c r="C30" s="2" t="s">
        <v>179</v>
      </c>
      <c r="D30" s="2" t="s">
        <v>180</v>
      </c>
      <c r="E30" s="2" t="s">
        <v>181</v>
      </c>
      <c r="F30" s="2" t="s">
        <v>182</v>
      </c>
      <c r="G30" s="2" t="s">
        <v>183</v>
      </c>
    </row>
    <row r="31" spans="1:7" ht="28">
      <c r="A31" s="2" t="s">
        <v>184</v>
      </c>
      <c r="B31" s="2" t="s">
        <v>130</v>
      </c>
      <c r="C31" s="2" t="s">
        <v>131</v>
      </c>
      <c r="D31" s="2" t="s">
        <v>185</v>
      </c>
      <c r="E31" s="2" t="s">
        <v>186</v>
      </c>
      <c r="F31" s="2" t="s">
        <v>187</v>
      </c>
      <c r="G31" s="2" t="s">
        <v>188</v>
      </c>
    </row>
    <row r="32" spans="1:7" ht="28">
      <c r="A32" s="2" t="s">
        <v>189</v>
      </c>
      <c r="B32" s="2" t="s">
        <v>190</v>
      </c>
      <c r="C32" s="2" t="s">
        <v>191</v>
      </c>
      <c r="D32" s="2" t="s">
        <v>192</v>
      </c>
      <c r="E32" s="2" t="s">
        <v>193</v>
      </c>
      <c r="F32" s="2" t="s">
        <v>194</v>
      </c>
      <c r="G32" s="2" t="s">
        <v>195</v>
      </c>
    </row>
    <row r="33" spans="1:7" ht="28">
      <c r="A33" s="2" t="s">
        <v>196</v>
      </c>
      <c r="B33" s="2" t="s">
        <v>190</v>
      </c>
      <c r="C33" s="2" t="s">
        <v>197</v>
      </c>
      <c r="D33" s="2" t="s">
        <v>198</v>
      </c>
      <c r="E33" s="2" t="s">
        <v>199</v>
      </c>
      <c r="F33" s="2" t="s">
        <v>200</v>
      </c>
      <c r="G33" s="2" t="s">
        <v>201</v>
      </c>
    </row>
    <row r="34" spans="1:7" ht="28">
      <c r="A34" s="2" t="s">
        <v>202</v>
      </c>
      <c r="B34" s="2" t="s">
        <v>190</v>
      </c>
      <c r="C34" s="2" t="s">
        <v>203</v>
      </c>
      <c r="D34" s="2" t="s">
        <v>204</v>
      </c>
      <c r="E34" s="2" t="s">
        <v>205</v>
      </c>
      <c r="F34" s="2" t="s">
        <v>206</v>
      </c>
      <c r="G34" s="2" t="s">
        <v>207</v>
      </c>
    </row>
    <row r="35" spans="1:7">
      <c r="A35" s="2" t="s">
        <v>208</v>
      </c>
      <c r="B35" s="2" t="s">
        <v>190</v>
      </c>
      <c r="C35" s="2" t="s">
        <v>209</v>
      </c>
      <c r="D35" s="2" t="s">
        <v>210</v>
      </c>
      <c r="E35" s="2" t="s">
        <v>211</v>
      </c>
      <c r="F35" s="2" t="s">
        <v>212</v>
      </c>
      <c r="G35" s="2" t="s">
        <v>213</v>
      </c>
    </row>
    <row r="36" spans="1:7" ht="28">
      <c r="A36" s="2" t="s">
        <v>214</v>
      </c>
      <c r="B36" s="2" t="s">
        <v>190</v>
      </c>
      <c r="C36" s="2" t="s">
        <v>215</v>
      </c>
      <c r="D36" s="2" t="s">
        <v>216</v>
      </c>
      <c r="E36" s="2" t="s">
        <v>217</v>
      </c>
      <c r="F36" s="2" t="s">
        <v>218</v>
      </c>
      <c r="G36" s="2" t="s">
        <v>219</v>
      </c>
    </row>
    <row r="37" spans="1:7" ht="28">
      <c r="A37" s="2" t="s">
        <v>220</v>
      </c>
      <c r="B37" s="2" t="s">
        <v>190</v>
      </c>
      <c r="C37" s="2" t="s">
        <v>221</v>
      </c>
      <c r="D37" s="2" t="s">
        <v>222</v>
      </c>
      <c r="E37" s="2" t="s">
        <v>223</v>
      </c>
      <c r="F37" s="2" t="s">
        <v>224</v>
      </c>
      <c r="G37" s="2" t="s">
        <v>225</v>
      </c>
    </row>
    <row r="38" spans="1:7" ht="28">
      <c r="A38" s="2" t="s">
        <v>226</v>
      </c>
      <c r="B38" s="2" t="s">
        <v>190</v>
      </c>
      <c r="C38" s="2" t="s">
        <v>227</v>
      </c>
      <c r="D38" s="2" t="s">
        <v>228</v>
      </c>
      <c r="E38" s="2" t="s">
        <v>229</v>
      </c>
      <c r="F38" s="2" t="s">
        <v>230</v>
      </c>
      <c r="G38" s="2" t="s">
        <v>231</v>
      </c>
    </row>
    <row r="39" spans="1:7" ht="28">
      <c r="A39" s="2" t="s">
        <v>232</v>
      </c>
      <c r="B39" s="2" t="s">
        <v>190</v>
      </c>
      <c r="C39" s="2" t="s">
        <v>233</v>
      </c>
      <c r="D39" s="2" t="s">
        <v>234</v>
      </c>
      <c r="E39" s="2" t="s">
        <v>235</v>
      </c>
      <c r="F39" s="2" t="s">
        <v>236</v>
      </c>
      <c r="G39" s="2" t="s">
        <v>237</v>
      </c>
    </row>
    <row r="40" spans="1:7" ht="28">
      <c r="A40" s="2" t="s">
        <v>238</v>
      </c>
      <c r="B40" s="2" t="s">
        <v>190</v>
      </c>
      <c r="C40" s="2" t="s">
        <v>239</v>
      </c>
      <c r="D40" s="2" t="s">
        <v>240</v>
      </c>
      <c r="E40" s="2" t="s">
        <v>241</v>
      </c>
      <c r="F40" s="2" t="s">
        <v>242</v>
      </c>
      <c r="G40" s="2" t="s">
        <v>243</v>
      </c>
    </row>
    <row r="41" spans="1:7" ht="28">
      <c r="A41" s="2" t="s">
        <v>244</v>
      </c>
      <c r="B41" s="2" t="s">
        <v>190</v>
      </c>
      <c r="C41" s="2" t="s">
        <v>245</v>
      </c>
      <c r="D41" s="2" t="s">
        <v>246</v>
      </c>
      <c r="E41" s="2" t="s">
        <v>247</v>
      </c>
      <c r="F41" s="2" t="s">
        <v>248</v>
      </c>
      <c r="G41" s="2" t="s">
        <v>249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1"/>
  <sheetViews>
    <sheetView workbookViewId="0">
      <selection activeCell="B17" sqref="B17"/>
    </sheetView>
  </sheetViews>
  <sheetFormatPr defaultRowHeight="14"/>
  <cols>
    <col min="1" max="1" width="22" customWidth="1"/>
    <col min="2" max="2" width="28" customWidth="1"/>
    <col min="3" max="3" width="75" customWidth="1"/>
  </cols>
  <sheetData>
    <row r="1" spans="1:26">
      <c r="A1" s="1" t="s">
        <v>250</v>
      </c>
      <c r="B1" s="1" t="s">
        <v>251</v>
      </c>
      <c r="C1" s="1" t="s">
        <v>258</v>
      </c>
      <c r="D1" s="1"/>
      <c r="E1" s="1"/>
      <c r="F1" s="1"/>
      <c r="G1" s="1"/>
      <c r="H1" s="1"/>
      <c r="I1" s="1"/>
      <c r="J1" s="1"/>
      <c r="K1" s="1"/>
      <c r="L1" s="1"/>
      <c r="M1" s="1"/>
      <c r="N1" s="1"/>
      <c r="O1" s="1"/>
      <c r="P1" s="1"/>
      <c r="Q1" s="1"/>
      <c r="R1" s="1"/>
      <c r="S1" s="1"/>
      <c r="T1" s="1"/>
      <c r="U1" s="1"/>
      <c r="V1" s="1"/>
      <c r="W1" s="1"/>
      <c r="X1" s="1"/>
      <c r="Y1" s="1"/>
      <c r="Z1" s="1"/>
    </row>
    <row r="2" spans="1:26" ht="28">
      <c r="A2" s="2">
        <v>0</v>
      </c>
      <c r="B2" s="2" t="s">
        <v>252</v>
      </c>
      <c r="C2" s="2" t="s">
        <v>253</v>
      </c>
    </row>
    <row r="3" spans="1:26" ht="28">
      <c r="A3" s="2">
        <v>1</v>
      </c>
      <c r="B3" s="2" t="s">
        <v>254</v>
      </c>
      <c r="C3" s="2" t="s">
        <v>440</v>
      </c>
    </row>
    <row r="4" spans="1:26" ht="28">
      <c r="A4" s="2">
        <v>2</v>
      </c>
      <c r="B4" s="2" t="s">
        <v>255</v>
      </c>
      <c r="C4" s="2" t="s">
        <v>256</v>
      </c>
    </row>
    <row r="5" spans="1:26">
      <c r="A5" s="2"/>
      <c r="B5" s="2"/>
      <c r="C5" s="2"/>
    </row>
    <row r="6" spans="1:26">
      <c r="A6" s="8" t="s">
        <v>257</v>
      </c>
      <c r="B6" s="8" t="s">
        <v>258</v>
      </c>
      <c r="C6" s="8" t="s">
        <v>259</v>
      </c>
    </row>
    <row r="7" spans="1:26" ht="28">
      <c r="A7" s="2" t="s">
        <v>260</v>
      </c>
      <c r="B7" s="2" t="s">
        <v>261</v>
      </c>
      <c r="C7" s="2" t="s">
        <v>262</v>
      </c>
    </row>
    <row r="8" spans="1:26" ht="28">
      <c r="A8" s="2" t="s">
        <v>263</v>
      </c>
      <c r="B8" s="2" t="s">
        <v>264</v>
      </c>
      <c r="C8" s="2" t="s">
        <v>265</v>
      </c>
    </row>
    <row r="9" spans="1:26" ht="28">
      <c r="A9" s="2" t="s">
        <v>266</v>
      </c>
      <c r="B9" s="2" t="s">
        <v>267</v>
      </c>
      <c r="C9" s="2" t="s">
        <v>268</v>
      </c>
    </row>
    <row r="10" spans="1:26" ht="28">
      <c r="A10" s="2" t="s">
        <v>269</v>
      </c>
      <c r="B10" s="2" t="s">
        <v>270</v>
      </c>
      <c r="C10" s="2" t="s">
        <v>271</v>
      </c>
    </row>
    <row r="11" spans="1:26" ht="28">
      <c r="A11" s="2" t="s">
        <v>272</v>
      </c>
      <c r="B11" s="2" t="s">
        <v>273</v>
      </c>
      <c r="C11" s="2" t="s">
        <v>274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41"/>
  <sheetViews>
    <sheetView zoomScaleNormal="100" workbookViewId="0">
      <selection activeCell="I51" sqref="I51"/>
    </sheetView>
  </sheetViews>
  <sheetFormatPr defaultRowHeight="14"/>
  <cols>
    <col min="1" max="1" width="12" customWidth="1"/>
    <col min="2" max="3" width="22" customWidth="1"/>
    <col min="4" max="5" width="50" customWidth="1"/>
    <col min="6" max="6" width="55" customWidth="1"/>
    <col min="7" max="7" width="18.08203125" customWidth="1"/>
    <col min="8" max="8" width="28" customWidth="1"/>
    <col min="9" max="9" width="55" customWidth="1"/>
    <col min="10" max="10" width="17.5" customWidth="1"/>
    <col min="11" max="11" width="28" customWidth="1"/>
    <col min="12" max="12" width="55" customWidth="1"/>
    <col min="13" max="13" width="12" customWidth="1"/>
    <col min="14" max="14" width="28" customWidth="1"/>
  </cols>
  <sheetData>
    <row r="1" spans="1:23">
      <c r="A1" s="1" t="s">
        <v>0</v>
      </c>
      <c r="B1" s="1" t="s">
        <v>1</v>
      </c>
      <c r="C1" s="1" t="s">
        <v>2</v>
      </c>
      <c r="D1" s="1" t="s">
        <v>4</v>
      </c>
      <c r="E1" s="1" t="s">
        <v>5</v>
      </c>
      <c r="F1" s="1" t="s">
        <v>335</v>
      </c>
      <c r="G1" s="1" t="s">
        <v>341</v>
      </c>
      <c r="H1" s="1" t="s">
        <v>343</v>
      </c>
      <c r="I1" s="1" t="s">
        <v>338</v>
      </c>
      <c r="J1" s="1" t="s">
        <v>342</v>
      </c>
      <c r="K1" s="1" t="s">
        <v>344</v>
      </c>
      <c r="L1" s="7"/>
      <c r="M1" s="7"/>
      <c r="N1" s="7"/>
      <c r="O1" s="7"/>
      <c r="P1" s="7"/>
      <c r="Q1" s="7"/>
      <c r="R1" s="7"/>
      <c r="S1" s="7"/>
      <c r="T1" s="7"/>
      <c r="U1" s="7"/>
      <c r="V1" s="7"/>
      <c r="W1" s="7"/>
    </row>
    <row r="2" spans="1:23" ht="126">
      <c r="A2" s="2" t="s">
        <v>7</v>
      </c>
      <c r="B2" s="2" t="s">
        <v>8</v>
      </c>
      <c r="C2" s="2" t="s">
        <v>9</v>
      </c>
      <c r="D2" s="2" t="s">
        <v>11</v>
      </c>
      <c r="E2" s="2" t="s">
        <v>12</v>
      </c>
      <c r="F2" s="2" t="s">
        <v>353</v>
      </c>
      <c r="G2" s="2">
        <v>0</v>
      </c>
      <c r="H2" s="2" t="s">
        <v>385</v>
      </c>
      <c r="I2" s="2" t="s">
        <v>337</v>
      </c>
      <c r="J2" s="2">
        <v>2</v>
      </c>
      <c r="K2" s="2"/>
    </row>
    <row r="3" spans="1:23" ht="182">
      <c r="A3" s="2" t="s">
        <v>14</v>
      </c>
      <c r="B3" s="2" t="s">
        <v>8</v>
      </c>
      <c r="C3" s="2" t="s">
        <v>15</v>
      </c>
      <c r="D3" s="2" t="s">
        <v>295</v>
      </c>
      <c r="E3" s="2" t="s">
        <v>296</v>
      </c>
      <c r="F3" s="2" t="s">
        <v>294</v>
      </c>
      <c r="G3" s="2">
        <v>0</v>
      </c>
      <c r="H3" s="2" t="s">
        <v>386</v>
      </c>
      <c r="I3" s="2" t="s">
        <v>339</v>
      </c>
      <c r="J3" s="2">
        <v>2</v>
      </c>
      <c r="K3" s="2"/>
    </row>
    <row r="4" spans="1:23" ht="168">
      <c r="A4" s="2" t="s">
        <v>20</v>
      </c>
      <c r="B4" s="2" t="s">
        <v>8</v>
      </c>
      <c r="C4" s="2" t="s">
        <v>21</v>
      </c>
      <c r="D4" s="2" t="s">
        <v>23</v>
      </c>
      <c r="E4" s="2" t="s">
        <v>24</v>
      </c>
      <c r="F4" s="2" t="s">
        <v>297</v>
      </c>
      <c r="G4" s="2">
        <v>0</v>
      </c>
      <c r="H4" s="2" t="s">
        <v>387</v>
      </c>
      <c r="I4" s="2" t="s">
        <v>340</v>
      </c>
      <c r="J4" s="2">
        <v>2</v>
      </c>
      <c r="K4" s="2"/>
    </row>
    <row r="5" spans="1:23" ht="126">
      <c r="A5" s="2" t="s">
        <v>26</v>
      </c>
      <c r="B5" s="2" t="s">
        <v>8</v>
      </c>
      <c r="C5" s="2" t="s">
        <v>27</v>
      </c>
      <c r="D5" s="2" t="s">
        <v>29</v>
      </c>
      <c r="E5" s="2" t="s">
        <v>30</v>
      </c>
      <c r="F5" s="2" t="s">
        <v>298</v>
      </c>
      <c r="G5" s="2">
        <v>1</v>
      </c>
      <c r="H5" s="2" t="s">
        <v>388</v>
      </c>
      <c r="I5" s="2" t="s">
        <v>345</v>
      </c>
      <c r="J5" s="2">
        <v>2</v>
      </c>
      <c r="K5" s="2"/>
    </row>
    <row r="6" spans="1:23" ht="224">
      <c r="A6" s="2" t="s">
        <v>32</v>
      </c>
      <c r="B6" s="2" t="s">
        <v>8</v>
      </c>
      <c r="C6" s="2" t="s">
        <v>33</v>
      </c>
      <c r="D6" s="2" t="s">
        <v>35</v>
      </c>
      <c r="E6" s="2" t="s">
        <v>36</v>
      </c>
      <c r="F6" s="2" t="s">
        <v>299</v>
      </c>
      <c r="G6" s="2">
        <v>0</v>
      </c>
      <c r="H6" s="2" t="s">
        <v>389</v>
      </c>
      <c r="I6" s="2" t="s">
        <v>346</v>
      </c>
      <c r="J6" s="2">
        <v>2</v>
      </c>
      <c r="K6" s="2"/>
    </row>
    <row r="7" spans="1:23" ht="182">
      <c r="A7" s="2" t="s">
        <v>38</v>
      </c>
      <c r="B7" s="2" t="s">
        <v>8</v>
      </c>
      <c r="C7" s="2" t="s">
        <v>39</v>
      </c>
      <c r="D7" s="2" t="s">
        <v>41</v>
      </c>
      <c r="E7" s="2" t="s">
        <v>42</v>
      </c>
      <c r="F7" s="2" t="s">
        <v>300</v>
      </c>
      <c r="G7" s="2">
        <v>1</v>
      </c>
      <c r="H7" s="2" t="s">
        <v>301</v>
      </c>
      <c r="I7" s="2" t="s">
        <v>347</v>
      </c>
      <c r="J7" s="2">
        <v>2</v>
      </c>
      <c r="K7" s="2"/>
    </row>
    <row r="8" spans="1:23" ht="266">
      <c r="A8" s="2" t="s">
        <v>44</v>
      </c>
      <c r="B8" s="2" t="s">
        <v>8</v>
      </c>
      <c r="C8" s="2" t="s">
        <v>45</v>
      </c>
      <c r="D8" s="2" t="s">
        <v>47</v>
      </c>
      <c r="E8" s="2" t="s">
        <v>48</v>
      </c>
      <c r="F8" s="2" t="s">
        <v>302</v>
      </c>
      <c r="G8" s="2">
        <v>0</v>
      </c>
      <c r="H8" s="2"/>
      <c r="I8" s="2" t="s">
        <v>348</v>
      </c>
      <c r="J8" s="2">
        <v>1</v>
      </c>
      <c r="K8" s="2" t="s">
        <v>407</v>
      </c>
    </row>
    <row r="9" spans="1:23" ht="378">
      <c r="A9" s="2" t="s">
        <v>50</v>
      </c>
      <c r="B9" s="2" t="s">
        <v>8</v>
      </c>
      <c r="C9" s="2" t="s">
        <v>51</v>
      </c>
      <c r="D9" s="2" t="s">
        <v>53</v>
      </c>
      <c r="E9" s="2" t="s">
        <v>54</v>
      </c>
      <c r="F9" s="6" t="s">
        <v>303</v>
      </c>
      <c r="G9" s="2">
        <v>0</v>
      </c>
      <c r="H9" s="2"/>
      <c r="I9" s="2" t="s">
        <v>349</v>
      </c>
      <c r="J9" s="2">
        <v>2</v>
      </c>
      <c r="K9" s="2"/>
    </row>
    <row r="10" spans="1:23" ht="350">
      <c r="A10" s="2" t="s">
        <v>56</v>
      </c>
      <c r="B10" s="2" t="s">
        <v>8</v>
      </c>
      <c r="C10" s="2" t="s">
        <v>57</v>
      </c>
      <c r="D10" s="2" t="s">
        <v>59</v>
      </c>
      <c r="E10" s="2" t="s">
        <v>60</v>
      </c>
      <c r="F10" s="2" t="s">
        <v>304</v>
      </c>
      <c r="G10" s="2">
        <v>0</v>
      </c>
      <c r="H10" s="2"/>
      <c r="I10" s="2" t="s">
        <v>350</v>
      </c>
      <c r="J10" s="2">
        <v>2</v>
      </c>
      <c r="K10" s="2"/>
    </row>
    <row r="11" spans="1:23" ht="308">
      <c r="A11" s="2" t="s">
        <v>62</v>
      </c>
      <c r="B11" s="2" t="s">
        <v>8</v>
      </c>
      <c r="C11" s="2" t="s">
        <v>63</v>
      </c>
      <c r="D11" s="2" t="s">
        <v>65</v>
      </c>
      <c r="E11" s="2" t="s">
        <v>66</v>
      </c>
      <c r="F11" s="2" t="s">
        <v>305</v>
      </c>
      <c r="G11" s="2">
        <v>1</v>
      </c>
      <c r="H11" s="2" t="s">
        <v>390</v>
      </c>
      <c r="I11" s="2" t="s">
        <v>351</v>
      </c>
      <c r="J11" s="2">
        <v>2</v>
      </c>
      <c r="K11" s="2"/>
    </row>
    <row r="12" spans="1:23" ht="294">
      <c r="A12" s="2" t="s">
        <v>68</v>
      </c>
      <c r="B12" s="2" t="s">
        <v>69</v>
      </c>
      <c r="C12" s="2" t="s">
        <v>70</v>
      </c>
      <c r="D12" s="2" t="s">
        <v>72</v>
      </c>
      <c r="E12" s="2" t="s">
        <v>73</v>
      </c>
      <c r="F12" s="2" t="s">
        <v>306</v>
      </c>
      <c r="G12" s="2">
        <v>1</v>
      </c>
      <c r="H12" s="2" t="s">
        <v>390</v>
      </c>
      <c r="I12" s="2" t="s">
        <v>352</v>
      </c>
      <c r="J12" s="2">
        <v>2</v>
      </c>
      <c r="K12" s="2"/>
    </row>
    <row r="13" spans="1:23" ht="406">
      <c r="A13" s="2" t="s">
        <v>75</v>
      </c>
      <c r="B13" s="2" t="s">
        <v>69</v>
      </c>
      <c r="C13" s="2" t="s">
        <v>76</v>
      </c>
      <c r="D13" s="2" t="s">
        <v>78</v>
      </c>
      <c r="E13" s="2" t="s">
        <v>79</v>
      </c>
      <c r="F13" s="2" t="s">
        <v>307</v>
      </c>
      <c r="G13" s="2">
        <v>1</v>
      </c>
      <c r="H13" s="2"/>
      <c r="I13" s="2" t="s">
        <v>354</v>
      </c>
      <c r="J13" s="2">
        <v>2</v>
      </c>
      <c r="K13" s="2"/>
    </row>
    <row r="14" spans="1:23" ht="294">
      <c r="A14" s="2" t="s">
        <v>81</v>
      </c>
      <c r="B14" s="2" t="s">
        <v>69</v>
      </c>
      <c r="C14" s="2" t="s">
        <v>82</v>
      </c>
      <c r="D14" s="2" t="s">
        <v>84</v>
      </c>
      <c r="E14" s="2" t="s">
        <v>85</v>
      </c>
      <c r="F14" s="2" t="s">
        <v>308</v>
      </c>
      <c r="G14" s="2">
        <v>1</v>
      </c>
      <c r="H14" s="2"/>
      <c r="I14" s="2" t="s">
        <v>355</v>
      </c>
      <c r="J14" s="2">
        <v>2</v>
      </c>
      <c r="K14" s="2"/>
    </row>
    <row r="15" spans="1:23" ht="409.5">
      <c r="A15" s="2" t="s">
        <v>87</v>
      </c>
      <c r="B15" s="2" t="s">
        <v>69</v>
      </c>
      <c r="C15" s="2" t="s">
        <v>88</v>
      </c>
      <c r="D15" s="2" t="s">
        <v>90</v>
      </c>
      <c r="E15" s="2" t="s">
        <v>91</v>
      </c>
      <c r="F15" s="2" t="s">
        <v>309</v>
      </c>
      <c r="G15" s="2">
        <v>1</v>
      </c>
      <c r="H15" s="2" t="s">
        <v>391</v>
      </c>
      <c r="I15" s="2" t="s">
        <v>356</v>
      </c>
      <c r="J15" s="2">
        <v>2</v>
      </c>
      <c r="K15" s="2"/>
    </row>
    <row r="16" spans="1:23" ht="409.5">
      <c r="A16" s="2" t="s">
        <v>93</v>
      </c>
      <c r="B16" s="2" t="s">
        <v>69</v>
      </c>
      <c r="C16" s="2" t="s">
        <v>94</v>
      </c>
      <c r="D16" s="2" t="s">
        <v>96</v>
      </c>
      <c r="E16" s="2" t="s">
        <v>97</v>
      </c>
      <c r="F16" s="6" t="s">
        <v>310</v>
      </c>
      <c r="G16" s="2">
        <v>1</v>
      </c>
      <c r="H16" s="2" t="s">
        <v>392</v>
      </c>
      <c r="I16" s="2" t="s">
        <v>357</v>
      </c>
      <c r="J16" s="2">
        <v>2</v>
      </c>
      <c r="K16" s="2"/>
    </row>
    <row r="17" spans="1:11" ht="364">
      <c r="A17" s="2" t="s">
        <v>99</v>
      </c>
      <c r="B17" s="2" t="s">
        <v>69</v>
      </c>
      <c r="C17" s="2" t="s">
        <v>100</v>
      </c>
      <c r="D17" s="2" t="s">
        <v>102</v>
      </c>
      <c r="E17" s="2" t="s">
        <v>103</v>
      </c>
      <c r="F17" s="6" t="s">
        <v>311</v>
      </c>
      <c r="G17" s="2">
        <v>0</v>
      </c>
      <c r="H17" s="2" t="s">
        <v>393</v>
      </c>
      <c r="I17" s="2" t="s">
        <v>358</v>
      </c>
      <c r="J17" s="2">
        <v>2</v>
      </c>
      <c r="K17" s="2"/>
    </row>
    <row r="18" spans="1:11" ht="364">
      <c r="A18" s="2" t="s">
        <v>105</v>
      </c>
      <c r="B18" s="2" t="s">
        <v>69</v>
      </c>
      <c r="C18" s="2" t="s">
        <v>106</v>
      </c>
      <c r="D18" s="2" t="s">
        <v>108</v>
      </c>
      <c r="E18" s="2" t="s">
        <v>109</v>
      </c>
      <c r="F18" s="2" t="s">
        <v>312</v>
      </c>
      <c r="G18" s="2">
        <v>1</v>
      </c>
      <c r="H18" s="2" t="s">
        <v>394</v>
      </c>
      <c r="I18" s="2" t="s">
        <v>359</v>
      </c>
      <c r="J18" s="2">
        <v>2</v>
      </c>
      <c r="K18" s="2"/>
    </row>
    <row r="19" spans="1:11" ht="252">
      <c r="A19" s="2" t="s">
        <v>111</v>
      </c>
      <c r="B19" s="2" t="s">
        <v>69</v>
      </c>
      <c r="C19" s="2" t="s">
        <v>112</v>
      </c>
      <c r="D19" s="2" t="s">
        <v>114</v>
      </c>
      <c r="E19" s="2" t="s">
        <v>115</v>
      </c>
      <c r="F19" s="2" t="s">
        <v>313</v>
      </c>
      <c r="G19" s="2">
        <v>0</v>
      </c>
      <c r="H19" s="2" t="s">
        <v>395</v>
      </c>
      <c r="I19" s="2" t="s">
        <v>360</v>
      </c>
      <c r="J19" s="2">
        <v>2</v>
      </c>
      <c r="K19" s="2"/>
    </row>
    <row r="20" spans="1:11" ht="409.5">
      <c r="A20" s="2" t="s">
        <v>117</v>
      </c>
      <c r="B20" s="2" t="s">
        <v>69</v>
      </c>
      <c r="C20" s="2" t="s">
        <v>118</v>
      </c>
      <c r="D20" s="2" t="s">
        <v>120</v>
      </c>
      <c r="E20" s="2" t="s">
        <v>121</v>
      </c>
      <c r="F20" s="6" t="s">
        <v>314</v>
      </c>
      <c r="G20" s="2">
        <v>1</v>
      </c>
      <c r="H20" s="2" t="s">
        <v>396</v>
      </c>
      <c r="I20" s="2" t="s">
        <v>361</v>
      </c>
      <c r="J20" s="2">
        <v>2</v>
      </c>
      <c r="K20" s="2"/>
    </row>
    <row r="21" spans="1:11" ht="168">
      <c r="A21" s="2" t="s">
        <v>123</v>
      </c>
      <c r="B21" s="2" t="s">
        <v>69</v>
      </c>
      <c r="C21" s="2" t="s">
        <v>124</v>
      </c>
      <c r="D21" s="2" t="s">
        <v>126</v>
      </c>
      <c r="E21" s="2" t="s">
        <v>127</v>
      </c>
      <c r="F21" s="6" t="s">
        <v>315</v>
      </c>
      <c r="G21" s="2">
        <v>1</v>
      </c>
      <c r="H21" s="2" t="s">
        <v>396</v>
      </c>
      <c r="I21" s="2" t="s">
        <v>362</v>
      </c>
      <c r="J21" s="2">
        <v>2</v>
      </c>
      <c r="K21" s="2"/>
    </row>
    <row r="22" spans="1:11" ht="224">
      <c r="A22" s="2" t="s">
        <v>129</v>
      </c>
      <c r="B22" s="2" t="s">
        <v>130</v>
      </c>
      <c r="C22" s="2" t="s">
        <v>131</v>
      </c>
      <c r="D22" s="2" t="s">
        <v>133</v>
      </c>
      <c r="E22" s="2" t="s">
        <v>134</v>
      </c>
      <c r="F22" s="2" t="s">
        <v>316</v>
      </c>
      <c r="G22" s="2">
        <v>2</v>
      </c>
      <c r="H22" s="2"/>
      <c r="I22" s="2" t="s">
        <v>363</v>
      </c>
      <c r="J22" s="2">
        <v>2</v>
      </c>
      <c r="K22" s="2"/>
    </row>
    <row r="23" spans="1:11" ht="140">
      <c r="A23" s="2" t="s">
        <v>136</v>
      </c>
      <c r="B23" s="2" t="s">
        <v>130</v>
      </c>
      <c r="C23" s="2" t="s">
        <v>137</v>
      </c>
      <c r="D23" s="2" t="s">
        <v>139</v>
      </c>
      <c r="E23" s="2" t="s">
        <v>140</v>
      </c>
      <c r="F23" s="6" t="s">
        <v>364</v>
      </c>
      <c r="G23" s="2">
        <v>1</v>
      </c>
      <c r="H23" s="2" t="s">
        <v>397</v>
      </c>
      <c r="I23" s="2" t="s">
        <v>365</v>
      </c>
      <c r="J23" s="2">
        <v>2</v>
      </c>
      <c r="K23" s="2"/>
    </row>
    <row r="24" spans="1:11" ht="224">
      <c r="A24" s="2" t="s">
        <v>142</v>
      </c>
      <c r="B24" s="2" t="s">
        <v>130</v>
      </c>
      <c r="C24" s="2" t="s">
        <v>143</v>
      </c>
      <c r="D24" s="2" t="s">
        <v>145</v>
      </c>
      <c r="E24" s="2" t="s">
        <v>146</v>
      </c>
      <c r="F24" s="6" t="s">
        <v>317</v>
      </c>
      <c r="G24" s="2">
        <v>1</v>
      </c>
      <c r="H24" s="2" t="s">
        <v>398</v>
      </c>
      <c r="I24" s="2" t="s">
        <v>366</v>
      </c>
      <c r="J24" s="2">
        <v>2</v>
      </c>
      <c r="K24" s="2"/>
    </row>
    <row r="25" spans="1:11" ht="196">
      <c r="A25" s="2" t="s">
        <v>148</v>
      </c>
      <c r="B25" s="2" t="s">
        <v>130</v>
      </c>
      <c r="C25" s="2" t="s">
        <v>149</v>
      </c>
      <c r="D25" s="2" t="s">
        <v>151</v>
      </c>
      <c r="E25" s="2" t="s">
        <v>152</v>
      </c>
      <c r="F25" s="2" t="s">
        <v>318</v>
      </c>
      <c r="G25" s="2">
        <v>2</v>
      </c>
      <c r="H25" s="2"/>
      <c r="I25" s="2" t="s">
        <v>367</v>
      </c>
      <c r="J25" s="2">
        <v>2</v>
      </c>
      <c r="K25" s="2"/>
    </row>
    <row r="26" spans="1:11" ht="409.5">
      <c r="A26" s="2" t="s">
        <v>154</v>
      </c>
      <c r="B26" s="2" t="s">
        <v>130</v>
      </c>
      <c r="C26" s="2" t="s">
        <v>155</v>
      </c>
      <c r="D26" s="2" t="s">
        <v>157</v>
      </c>
      <c r="E26" s="2" t="s">
        <v>158</v>
      </c>
      <c r="F26" s="6" t="s">
        <v>319</v>
      </c>
      <c r="G26" s="2">
        <v>2</v>
      </c>
      <c r="H26" s="2"/>
      <c r="I26" s="2" t="s">
        <v>383</v>
      </c>
      <c r="J26" s="2">
        <v>2</v>
      </c>
      <c r="K26" s="2"/>
    </row>
    <row r="27" spans="1:11" ht="238">
      <c r="A27" s="2" t="s">
        <v>160</v>
      </c>
      <c r="B27" s="2" t="s">
        <v>130</v>
      </c>
      <c r="C27" s="2" t="s">
        <v>161</v>
      </c>
      <c r="D27" s="2" t="s">
        <v>163</v>
      </c>
      <c r="E27" s="2" t="s">
        <v>164</v>
      </c>
      <c r="F27" s="2" t="s">
        <v>320</v>
      </c>
      <c r="G27" s="2">
        <v>2</v>
      </c>
      <c r="H27" s="2"/>
      <c r="I27" s="2" t="s">
        <v>368</v>
      </c>
      <c r="J27" s="2">
        <v>2</v>
      </c>
      <c r="K27" s="2"/>
    </row>
    <row r="28" spans="1:11" ht="294">
      <c r="A28" s="2" t="s">
        <v>166</v>
      </c>
      <c r="B28" s="2" t="s">
        <v>130</v>
      </c>
      <c r="C28" s="2" t="s">
        <v>167</v>
      </c>
      <c r="D28" s="2" t="s">
        <v>169</v>
      </c>
      <c r="E28" s="2" t="s">
        <v>170</v>
      </c>
      <c r="F28" s="2" t="s">
        <v>321</v>
      </c>
      <c r="G28" s="2">
        <v>2</v>
      </c>
      <c r="H28" s="2"/>
      <c r="I28" s="2" t="s">
        <v>369</v>
      </c>
      <c r="J28" s="2">
        <v>2</v>
      </c>
      <c r="K28" s="2"/>
    </row>
    <row r="29" spans="1:11" ht="409.5">
      <c r="A29" s="2" t="s">
        <v>172</v>
      </c>
      <c r="B29" s="2" t="s">
        <v>130</v>
      </c>
      <c r="C29" s="2" t="s">
        <v>173</v>
      </c>
      <c r="D29" s="2" t="s">
        <v>175</v>
      </c>
      <c r="E29" s="2" t="s">
        <v>176</v>
      </c>
      <c r="F29" s="2" t="s">
        <v>322</v>
      </c>
      <c r="G29" s="2">
        <v>2</v>
      </c>
      <c r="H29" s="2"/>
      <c r="I29" s="2" t="s">
        <v>370</v>
      </c>
      <c r="J29" s="2">
        <v>2</v>
      </c>
      <c r="K29" s="2"/>
    </row>
    <row r="30" spans="1:11" ht="308">
      <c r="A30" s="2" t="s">
        <v>178</v>
      </c>
      <c r="B30" s="2" t="s">
        <v>130</v>
      </c>
      <c r="C30" s="2" t="s">
        <v>179</v>
      </c>
      <c r="D30" s="2" t="s">
        <v>181</v>
      </c>
      <c r="E30" s="2" t="s">
        <v>182</v>
      </c>
      <c r="F30" s="2" t="s">
        <v>323</v>
      </c>
      <c r="G30" s="2">
        <v>1</v>
      </c>
      <c r="H30" s="2" t="s">
        <v>399</v>
      </c>
      <c r="I30" s="2" t="s">
        <v>371</v>
      </c>
      <c r="J30" s="2">
        <v>2</v>
      </c>
      <c r="K30" s="2"/>
    </row>
    <row r="31" spans="1:11" ht="364">
      <c r="A31" s="2" t="s">
        <v>184</v>
      </c>
      <c r="B31" s="2" t="s">
        <v>130</v>
      </c>
      <c r="C31" s="2" t="s">
        <v>131</v>
      </c>
      <c r="D31" s="2" t="s">
        <v>186</v>
      </c>
      <c r="E31" s="2" t="s">
        <v>187</v>
      </c>
      <c r="F31" s="6" t="s">
        <v>324</v>
      </c>
      <c r="G31" s="2">
        <v>1</v>
      </c>
      <c r="H31" s="2" t="s">
        <v>400</v>
      </c>
      <c r="I31" s="2" t="s">
        <v>372</v>
      </c>
      <c r="J31" s="2">
        <v>2</v>
      </c>
      <c r="K31" s="2"/>
    </row>
    <row r="32" spans="1:11" ht="98">
      <c r="A32" s="2" t="s">
        <v>189</v>
      </c>
      <c r="B32" s="2" t="s">
        <v>190</v>
      </c>
      <c r="C32" s="2" t="s">
        <v>191</v>
      </c>
      <c r="D32" s="2" t="s">
        <v>193</v>
      </c>
      <c r="E32" s="2" t="s">
        <v>194</v>
      </c>
      <c r="F32" s="2" t="s">
        <v>325</v>
      </c>
      <c r="G32" s="2">
        <v>2</v>
      </c>
      <c r="I32" s="2" t="s">
        <v>373</v>
      </c>
      <c r="J32" s="2">
        <v>1</v>
      </c>
      <c r="K32" s="2" t="s">
        <v>408</v>
      </c>
    </row>
    <row r="33" spans="1:11" ht="28">
      <c r="A33" s="2" t="s">
        <v>196</v>
      </c>
      <c r="B33" s="2" t="s">
        <v>190</v>
      </c>
      <c r="C33" s="2" t="s">
        <v>197</v>
      </c>
      <c r="D33" s="2" t="s">
        <v>199</v>
      </c>
      <c r="E33" s="2" t="s">
        <v>200</v>
      </c>
      <c r="F33" s="2" t="s">
        <v>326</v>
      </c>
      <c r="G33" s="2">
        <v>1</v>
      </c>
      <c r="H33" s="2" t="s">
        <v>401</v>
      </c>
      <c r="I33" s="2" t="s">
        <v>374</v>
      </c>
      <c r="J33" s="2">
        <v>2</v>
      </c>
      <c r="K33" s="2"/>
    </row>
    <row r="34" spans="1:11" ht="28">
      <c r="A34" s="2" t="s">
        <v>202</v>
      </c>
      <c r="B34" s="2" t="s">
        <v>190</v>
      </c>
      <c r="C34" s="2" t="s">
        <v>203</v>
      </c>
      <c r="D34" s="2" t="s">
        <v>205</v>
      </c>
      <c r="E34" s="2" t="s">
        <v>206</v>
      </c>
      <c r="F34" s="2" t="s">
        <v>327</v>
      </c>
      <c r="G34" s="2">
        <v>2</v>
      </c>
      <c r="H34" s="2"/>
      <c r="I34" s="2" t="s">
        <v>375</v>
      </c>
      <c r="J34" s="2">
        <v>2</v>
      </c>
      <c r="K34" s="2"/>
    </row>
    <row r="35" spans="1:11" ht="28">
      <c r="A35" s="2" t="s">
        <v>208</v>
      </c>
      <c r="B35" s="2" t="s">
        <v>190</v>
      </c>
      <c r="C35" s="2" t="s">
        <v>209</v>
      </c>
      <c r="D35" s="2" t="s">
        <v>211</v>
      </c>
      <c r="E35" s="2" t="s">
        <v>212</v>
      </c>
      <c r="F35" s="2" t="s">
        <v>328</v>
      </c>
      <c r="G35" s="2">
        <v>2</v>
      </c>
      <c r="H35" s="2"/>
      <c r="I35" s="2" t="s">
        <v>376</v>
      </c>
      <c r="J35" s="2">
        <v>2</v>
      </c>
      <c r="K35" s="2"/>
    </row>
    <row r="36" spans="1:11" ht="378">
      <c r="A36" s="2" t="s">
        <v>214</v>
      </c>
      <c r="B36" s="2" t="s">
        <v>190</v>
      </c>
      <c r="C36" s="2" t="s">
        <v>215</v>
      </c>
      <c r="D36" s="2" t="s">
        <v>217</v>
      </c>
      <c r="E36" s="2" t="s">
        <v>218</v>
      </c>
      <c r="F36" s="2" t="s">
        <v>329</v>
      </c>
      <c r="G36" s="2">
        <v>1</v>
      </c>
      <c r="H36" s="2" t="s">
        <v>402</v>
      </c>
      <c r="I36" s="2" t="s">
        <v>377</v>
      </c>
      <c r="J36" s="2">
        <v>2</v>
      </c>
      <c r="K36" s="2"/>
    </row>
    <row r="37" spans="1:11" ht="409.5">
      <c r="A37" s="2" t="s">
        <v>220</v>
      </c>
      <c r="B37" s="2" t="s">
        <v>190</v>
      </c>
      <c r="C37" s="2" t="s">
        <v>221</v>
      </c>
      <c r="D37" s="2" t="s">
        <v>223</v>
      </c>
      <c r="E37" s="2" t="s">
        <v>224</v>
      </c>
      <c r="F37" s="2" t="s">
        <v>330</v>
      </c>
      <c r="G37" s="2">
        <v>1</v>
      </c>
      <c r="H37" s="2"/>
      <c r="I37" s="2" t="s">
        <v>378</v>
      </c>
      <c r="J37" s="2">
        <v>2</v>
      </c>
      <c r="K37" s="2"/>
    </row>
    <row r="38" spans="1:11" ht="409.5">
      <c r="A38" s="2" t="s">
        <v>226</v>
      </c>
      <c r="B38" s="2" t="s">
        <v>190</v>
      </c>
      <c r="C38" s="2" t="s">
        <v>227</v>
      </c>
      <c r="D38" s="2" t="s">
        <v>229</v>
      </c>
      <c r="E38" s="2" t="s">
        <v>230</v>
      </c>
      <c r="F38" s="2" t="s">
        <v>331</v>
      </c>
      <c r="G38" s="2">
        <v>0</v>
      </c>
      <c r="H38" s="2" t="s">
        <v>403</v>
      </c>
      <c r="I38" s="2" t="s">
        <v>379</v>
      </c>
      <c r="J38" s="2">
        <v>2</v>
      </c>
      <c r="K38" s="2"/>
    </row>
    <row r="39" spans="1:11" ht="409.5">
      <c r="A39" s="2" t="s">
        <v>232</v>
      </c>
      <c r="B39" s="2" t="s">
        <v>190</v>
      </c>
      <c r="C39" s="2" t="s">
        <v>233</v>
      </c>
      <c r="D39" s="2" t="s">
        <v>235</v>
      </c>
      <c r="E39" s="2" t="s">
        <v>236</v>
      </c>
      <c r="F39" s="2" t="s">
        <v>332</v>
      </c>
      <c r="G39" s="2">
        <v>1</v>
      </c>
      <c r="H39" s="2" t="s">
        <v>404</v>
      </c>
      <c r="I39" s="2" t="s">
        <v>380</v>
      </c>
      <c r="J39" s="2">
        <v>2</v>
      </c>
      <c r="K39" s="2"/>
    </row>
    <row r="40" spans="1:11" ht="409.5">
      <c r="A40" s="2" t="s">
        <v>238</v>
      </c>
      <c r="B40" s="2" t="s">
        <v>190</v>
      </c>
      <c r="C40" s="2" t="s">
        <v>239</v>
      </c>
      <c r="D40" s="2" t="s">
        <v>241</v>
      </c>
      <c r="E40" s="2" t="s">
        <v>242</v>
      </c>
      <c r="F40" s="2" t="s">
        <v>333</v>
      </c>
      <c r="G40" s="2">
        <v>1</v>
      </c>
      <c r="H40" s="2" t="s">
        <v>405</v>
      </c>
      <c r="I40" s="2" t="s">
        <v>381</v>
      </c>
      <c r="J40" s="2">
        <v>2</v>
      </c>
      <c r="K40" s="2"/>
    </row>
    <row r="41" spans="1:11" ht="409.5">
      <c r="A41" s="2" t="s">
        <v>244</v>
      </c>
      <c r="B41" s="2" t="s">
        <v>190</v>
      </c>
      <c r="C41" s="2" t="s">
        <v>245</v>
      </c>
      <c r="D41" s="2" t="s">
        <v>247</v>
      </c>
      <c r="E41" s="2" t="s">
        <v>248</v>
      </c>
      <c r="F41" s="2" t="s">
        <v>334</v>
      </c>
      <c r="G41" s="2">
        <v>1</v>
      </c>
      <c r="H41" s="2" t="s">
        <v>406</v>
      </c>
      <c r="I41" s="2" t="s">
        <v>382</v>
      </c>
      <c r="J41" s="2">
        <v>2</v>
      </c>
      <c r="K41" s="2"/>
    </row>
  </sheetData>
  <dataValidations count="1">
    <dataValidation type="list" sqref="J2:J41 G2:G41" xr:uid="{00000000-0002-0000-0300-000000000000}">
      <formula1>"0,1,2"</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33"/>
  <sheetViews>
    <sheetView topLeftCell="A3" zoomScale="89" workbookViewId="0">
      <selection activeCell="B37" sqref="B37"/>
    </sheetView>
  </sheetViews>
  <sheetFormatPr defaultRowHeight="14"/>
  <cols>
    <col min="1" max="5" width="22" customWidth="1"/>
  </cols>
  <sheetData>
    <row r="1" spans="1:26" ht="160">
      <c r="A1" s="3" t="s">
        <v>439</v>
      </c>
      <c r="B1" s="3"/>
      <c r="C1" s="3"/>
      <c r="D1" s="3"/>
      <c r="E1" s="3"/>
      <c r="F1" s="1"/>
      <c r="G1" s="1"/>
      <c r="H1" s="1"/>
      <c r="I1" s="1"/>
      <c r="J1" s="1"/>
      <c r="K1" s="1"/>
      <c r="L1" s="1"/>
      <c r="M1" s="1"/>
      <c r="N1" s="1"/>
      <c r="O1" s="1"/>
      <c r="P1" s="1"/>
      <c r="Q1" s="1"/>
      <c r="R1" s="1"/>
      <c r="S1" s="1"/>
      <c r="T1" s="1"/>
      <c r="U1" s="1"/>
      <c r="V1" s="1"/>
      <c r="W1" s="1"/>
      <c r="X1" s="1"/>
      <c r="Y1" s="1"/>
      <c r="Z1" s="1"/>
    </row>
    <row r="2" spans="1:26">
      <c r="A2" s="2" t="s">
        <v>275</v>
      </c>
      <c r="B2" s="2">
        <f>COUNTA(Prompts!A2:A41)</f>
        <v>40</v>
      </c>
      <c r="C2" s="2"/>
      <c r="D2" s="2"/>
      <c r="E2" s="2"/>
    </row>
    <row r="3" spans="1:26" ht="56">
      <c r="A3" s="2" t="s">
        <v>276</v>
      </c>
      <c r="B3" s="2" t="s">
        <v>277</v>
      </c>
      <c r="C3" s="2"/>
      <c r="D3" s="2"/>
      <c r="E3" s="2"/>
    </row>
    <row r="4" spans="1:26" ht="28">
      <c r="A4" s="2" t="s">
        <v>278</v>
      </c>
      <c r="B4" s="2" t="s">
        <v>279</v>
      </c>
      <c r="C4" s="2"/>
      <c r="D4" s="2"/>
      <c r="E4" s="2"/>
    </row>
    <row r="5" spans="1:26">
      <c r="C5" s="2"/>
      <c r="D5" s="2"/>
      <c r="E5" s="2"/>
    </row>
    <row r="6" spans="1:26">
      <c r="A6" s="2"/>
      <c r="B6" s="2"/>
      <c r="C6" s="2"/>
      <c r="D6" s="2"/>
      <c r="E6" s="2"/>
    </row>
    <row r="8" spans="1:26">
      <c r="A8" s="11" t="s">
        <v>282</v>
      </c>
      <c r="B8" s="11" t="s">
        <v>283</v>
      </c>
      <c r="C8" s="11" t="s">
        <v>284</v>
      </c>
      <c r="D8" s="11" t="s">
        <v>285</v>
      </c>
      <c r="E8" s="11" t="s">
        <v>286</v>
      </c>
    </row>
    <row r="9" spans="1:26">
      <c r="A9" s="2" t="s">
        <v>336</v>
      </c>
      <c r="B9" s="4">
        <f>IFERROR(AVERAGE(Evaluation!G2:G41),"")</f>
        <v>0.97499999999999998</v>
      </c>
      <c r="C9" s="2">
        <f>COUNT(Evaluation!G2:G41)</f>
        <v>40</v>
      </c>
      <c r="D9" s="2">
        <f>COUNTA(Evaluation!A2:A41)*2</f>
        <v>80</v>
      </c>
      <c r="E9" s="5">
        <f>IFERROR(COUNT(Evaluation!G2:G41)/COUNTA(Evaluation!A2:A41),"")</f>
        <v>1</v>
      </c>
    </row>
    <row r="10" spans="1:26">
      <c r="A10" s="2" t="s">
        <v>384</v>
      </c>
      <c r="B10" s="4">
        <f>IFERROR(AVERAGE(Evaluation!J2:J41),"")</f>
        <v>1.95</v>
      </c>
      <c r="C10" s="2">
        <f>COUNT(Evaluation!J2:J41)</f>
        <v>40</v>
      </c>
      <c r="D10" s="2">
        <f>COUNTA(Evaluation!A2:A41)*2</f>
        <v>80</v>
      </c>
      <c r="E10" s="5">
        <f>IFERROR(COUNT(Evaluation!J2:J41)/COUNTA(Evaluation!A2:A41),"")</f>
        <v>1</v>
      </c>
    </row>
    <row r="12" spans="1:26">
      <c r="A12" s="2"/>
      <c r="B12" s="2"/>
      <c r="C12" s="2"/>
      <c r="D12" s="2"/>
      <c r="E12" s="2"/>
    </row>
    <row r="14" spans="1:26">
      <c r="A14" s="11" t="s">
        <v>280</v>
      </c>
      <c r="B14" s="11" t="s">
        <v>281</v>
      </c>
      <c r="C14" s="11" t="s">
        <v>417</v>
      </c>
      <c r="D14" s="11" t="s">
        <v>418</v>
      </c>
      <c r="E14" s="11" t="s">
        <v>415</v>
      </c>
    </row>
    <row r="15" spans="1:26">
      <c r="A15" s="2" t="s">
        <v>8</v>
      </c>
      <c r="B15" s="2">
        <f>COUNTIF(Evaluation!$B$2:$B$41,A15)</f>
        <v>10</v>
      </c>
      <c r="C15" s="2">
        <f>IFERROR(SUMIFS(Evaluation!$G$2:$G$41,Evaluation!$B$2:$B$41,A15)/COUNTIFS(Evaluation!$B$2:$B$41,A15,Evaluation!$G$2:$G$41,"&gt;=0"),"")</f>
        <v>0.3</v>
      </c>
      <c r="D15" s="2">
        <f>IFERROR(SUMIFS(Evaluation!$J$2:$J$41,Evaluation!$B$2:$B$41,A15)/COUNTIFS(Evaluation!$B$2:$B$41,A15,Evaluation!$J$2:$J$41,"&gt;=0"),"")</f>
        <v>1.9</v>
      </c>
      <c r="E15" t="s">
        <v>435</v>
      </c>
    </row>
    <row r="16" spans="1:26">
      <c r="A16" s="2" t="s">
        <v>69</v>
      </c>
      <c r="B16" s="2">
        <f>COUNTIF(Evaluation!$B$2:$B$41,A16)</f>
        <v>10</v>
      </c>
      <c r="C16" s="2">
        <f>IFERROR(SUMIFS(Evaluation!$G$2:$G$41,Evaluation!$B$2:$B$41,A16)/COUNTIFS(Evaluation!$B$2:$B$41,A16,Evaluation!$G$2:$G$41,"&gt;=0"),"")</f>
        <v>0.8</v>
      </c>
      <c r="D16" s="2">
        <f>IFERROR(SUMIFS(Evaluation!$J$2:$J$41,Evaluation!$B$2:$B$41,A16)/COUNTIFS(Evaluation!$B$2:$B$41,A16,Evaluation!$J$2:$J$41,"&gt;=0"),"")</f>
        <v>2</v>
      </c>
      <c r="E16" t="s">
        <v>437</v>
      </c>
    </row>
    <row r="17" spans="1:5" ht="28">
      <c r="A17" s="2" t="s">
        <v>130</v>
      </c>
      <c r="B17" s="2">
        <f>COUNTIF(Evaluation!$B$2:$B$41,A17)</f>
        <v>10</v>
      </c>
      <c r="C17" s="2">
        <f>IFERROR(SUMIFS(Evaluation!$G$2:$G$41,Evaluation!$B$2:$B$41,A17)/COUNTIFS(Evaluation!$B$2:$B$41,A17,Evaluation!$G$2:$G$41,"&gt;=0"),"")</f>
        <v>1.6</v>
      </c>
      <c r="D17" s="2">
        <f>IFERROR(SUMIFS(Evaluation!$J$2:$J$41,Evaluation!$B$2:$B$41,A17)/COUNTIFS(Evaluation!$B$2:$B$41,A17,Evaluation!$J$2:$J$41,"&gt;=0"),"")</f>
        <v>2</v>
      </c>
      <c r="E17" t="s">
        <v>436</v>
      </c>
    </row>
    <row r="18" spans="1:5">
      <c r="A18" s="2" t="s">
        <v>190</v>
      </c>
      <c r="B18" s="2">
        <f>COUNTIF(Evaluation!$B$2:$B$41,A18)</f>
        <v>10</v>
      </c>
      <c r="C18" s="2">
        <f>IFERROR(SUMIFS(Evaluation!$G$2:$G$41,Evaluation!$B$2:$B$41,A18)/COUNTIFS(Evaluation!$B$2:$B$41,A18,Evaluation!$G$2:$G$41,"&gt;=0"),"")</f>
        <v>1.2</v>
      </c>
      <c r="D18" s="2">
        <f>IFERROR(SUMIFS(Evaluation!$J$2:$J$41,Evaluation!$B$2:$B$41,A18)/COUNTIFS(Evaluation!$B$2:$B$41,A18,Evaluation!$J$2:$J$41,"&gt;=0"),"")</f>
        <v>1.9</v>
      </c>
      <c r="E18" t="s">
        <v>438</v>
      </c>
    </row>
    <row r="19" spans="1:5">
      <c r="A19" s="10"/>
    </row>
    <row r="22" spans="1:5">
      <c r="A22" s="12" t="s">
        <v>416</v>
      </c>
    </row>
    <row r="23" spans="1:5">
      <c r="A23" t="s">
        <v>424</v>
      </c>
    </row>
    <row r="24" spans="1:5">
      <c r="A24" t="s">
        <v>425</v>
      </c>
    </row>
    <row r="25" spans="1:5">
      <c r="A25" t="s">
        <v>426</v>
      </c>
    </row>
    <row r="26" spans="1:5">
      <c r="A26" t="s">
        <v>427</v>
      </c>
    </row>
    <row r="27" spans="1:5">
      <c r="A27" t="s">
        <v>428</v>
      </c>
    </row>
    <row r="28" spans="1:5">
      <c r="A28" t="s">
        <v>429</v>
      </c>
    </row>
    <row r="29" spans="1:5">
      <c r="A29" t="s">
        <v>430</v>
      </c>
    </row>
    <row r="30" spans="1:5">
      <c r="A30" t="s">
        <v>431</v>
      </c>
    </row>
    <row r="31" spans="1:5">
      <c r="A31" t="s">
        <v>432</v>
      </c>
    </row>
    <row r="32" spans="1:5">
      <c r="A32" t="s">
        <v>433</v>
      </c>
    </row>
    <row r="33" spans="1:1">
      <c r="A33" t="s">
        <v>434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Mini_Introduction</vt:lpstr>
      <vt:lpstr>Prompts</vt:lpstr>
      <vt:lpstr>Rubric</vt:lpstr>
      <vt:lpstr>Evaluation</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Beril Demiray</dc:creator>
  <cp:lastModifiedBy>Beril Demiray</cp:lastModifiedBy>
  <dcterms:created xsi:type="dcterms:W3CDTF">2026-05-06T07:47:08Z</dcterms:created>
  <dcterms:modified xsi:type="dcterms:W3CDTF">2026-05-06T14:50:26Z</dcterms:modified>
</cp:coreProperties>
</file>